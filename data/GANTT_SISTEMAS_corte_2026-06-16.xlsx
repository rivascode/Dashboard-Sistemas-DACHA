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1'!$A$1:$M$98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tc={ae16d354-d2ed-4b43-ae65-4b212d37778b}</author>
  </authors>
  <commentList>
    <comment authorId="0" xr:uid="{ae16d354-d2ed-4b43-ae65-4b212d37778b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esta agregando nuevos documentos y plantilla de formatos para llenar el opl
</t>
      </text>
    </comment>
  </commentList>
</comments>
</file>

<file path=xl/sharedStrings.xml><?xml version="1.0" encoding="utf-8"?>
<sst xmlns="http://schemas.openxmlformats.org/spreadsheetml/2006/main" count="183" uniqueCount="88">
  <si>
    <t>ID</t>
  </si>
  <si>
    <t>Tarea Destacada</t>
  </si>
  <si>
    <t>Título de la Tarea</t>
  </si>
  <si>
    <t>Área Afectada</t>
  </si>
  <si>
    <t>Responsable de TI</t>
  </si>
  <si>
    <t>Categoría</t>
  </si>
  <si>
    <t>Prioridad</t>
  </si>
  <si>
    <t>Estado</t>
  </si>
  <si>
    <t>Fecha de Inicio</t>
  </si>
  <si>
    <t>Fecha de Fin Estimada</t>
  </si>
  <si>
    <t>Fecha Real de Producción</t>
  </si>
  <si>
    <t>Progreso (%)</t>
  </si>
  <si>
    <t>Observaciones</t>
  </si>
  <si>
    <t>MEJORAS DE MODULO CLIENTE</t>
  </si>
  <si>
    <t>Operaciones</t>
  </si>
  <si>
    <t>REYSON FARFAN</t>
  </si>
  <si>
    <t>Alta</t>
  </si>
  <si>
    <t>FALTA PUBLICAR A LOS CLIENTES</t>
  </si>
  <si>
    <t>PROVICION DOCUMENTO NO DOMICILADOS</t>
  </si>
  <si>
    <t>contabilidad</t>
  </si>
  <si>
    <t>WILLIAM FLORES</t>
  </si>
  <si>
    <t>Media</t>
  </si>
  <si>
    <t>PENDIENTE DE REU CON CONTABILIDAD</t>
  </si>
  <si>
    <t>MODULO NOTAS CONTABLES</t>
  </si>
  <si>
    <t>documentacion</t>
  </si>
  <si>
    <t>BOT CONCILACIONES</t>
  </si>
  <si>
    <t>FATIMA VILLAJULCA</t>
  </si>
  <si>
    <t>Cancelado</t>
  </si>
  <si>
    <t>PENDIENTE REU CON SERGIO</t>
  </si>
  <si>
    <t>IMPLEMENTACION DE WHATSAPP - VUCE</t>
  </si>
  <si>
    <t>SMARTBOTS</t>
  </si>
  <si>
    <t>AUTOMATIZACION DE IE</t>
  </si>
  <si>
    <t>LEONARDO RIVAS</t>
  </si>
  <si>
    <t>En proceso</t>
  </si>
  <si>
    <t>CREANDO ANALISIS DE CORREOS</t>
  </si>
  <si>
    <t>AUTOMATIZACION DE ORDEN DE DESPACHO</t>
  </si>
  <si>
    <t>Pendiente</t>
  </si>
  <si>
    <t>BOT FACTURACION VENTAS CALLAO</t>
  </si>
  <si>
    <t>MIGRACION DE SERVIDOR - PAWA</t>
  </si>
  <si>
    <t>SISTEMAS</t>
  </si>
  <si>
    <t>DOCUMENTACION GESTOR DOCUMENTAL</t>
  </si>
  <si>
    <t>GABRIEL ESCARATE</t>
  </si>
  <si>
    <t>AUTOMATIZACION DE CUMPLEAÑOS DEL MES</t>
  </si>
  <si>
    <t>Recursos Humanos</t>
  </si>
  <si>
    <t>HERNAN CALLE</t>
  </si>
  <si>
    <t>MODULO DE GENERACION DE CONTRATO</t>
  </si>
  <si>
    <t>Completado</t>
  </si>
  <si>
    <t>DASHBOARD KPI REGULARIZACION</t>
  </si>
  <si>
    <t>IMPLEMENTACION DE VPN</t>
  </si>
  <si>
    <t>ADAPTAR RRHH A MULTIEMPRESAS</t>
  </si>
  <si>
    <t>REGISTRO DE MULTA PENDIENTE DE RESPONSABLES</t>
  </si>
  <si>
    <t>CORRECCION TARIFARIO ITURRI APP</t>
  </si>
  <si>
    <t>Finanzas</t>
  </si>
  <si>
    <t>Baja</t>
  </si>
  <si>
    <t>REGISTRO DE CORRECCION BL POST EMBARQUE</t>
  </si>
  <si>
    <t>matricez</t>
  </si>
  <si>
    <t>RENOVACION DE STATUS DOCUMENTARIO</t>
  </si>
  <si>
    <t>MODIFICACION DE TEXTO CORREO REGULARIZACION</t>
  </si>
  <si>
    <t>REPORTE DE ORDENES PROCESADAS</t>
  </si>
  <si>
    <t>NUMERACIONES MARITIMAS</t>
  </si>
  <si>
    <t>liquidacion pre</t>
  </si>
  <si>
    <t>ACTUALIZACION DOCUMENTACION VUCE</t>
  </si>
  <si>
    <t>MODO DE SOLICITUD DE PAGOS</t>
  </si>
  <si>
    <t>importacion</t>
  </si>
  <si>
    <t>CREAR KPI DE IMPORTACIONES</t>
  </si>
  <si>
    <t>MODIFICACION DE PROCEDIMIENTO SISTEMAS - SIG</t>
  </si>
  <si>
    <t>SIG</t>
  </si>
  <si>
    <t>UPGRADE SERVIDORES. - CLARO/PAWA</t>
  </si>
  <si>
    <t>MODIFICACION DE CORREO DAM REGULARIZADA</t>
  </si>
  <si>
    <t>AÑADIR TARJETA DE DESPACHOS AEREOS VISOR</t>
  </si>
  <si>
    <t>CLIENTES</t>
  </si>
  <si>
    <t xml:space="preserve">MEJORAS DE REGISTRO DE CLIENTES </t>
  </si>
  <si>
    <t>MODULO DE SOLICITUDES DE PERMISOS</t>
  </si>
  <si>
    <t>CREACION DE CORREO DE ONBOARDING TRABJADOR NUEVO</t>
  </si>
  <si>
    <t>CORREO DE VENCIMIENTO DE CONTRATOS</t>
  </si>
  <si>
    <t>ALERTA DE CONTENEDORES VS MANIFIESTO</t>
  </si>
  <si>
    <t>MODIFICACION DE TRACKIN DE DAM</t>
  </si>
  <si>
    <t>PRACTICANTE SMARBOTS</t>
  </si>
  <si>
    <t>WEB RRSS SMARTBOT</t>
  </si>
  <si>
    <t>GASTOS REEMBOLSABLES</t>
  </si>
  <si>
    <t>TAREAS A REVISAR CON GERENCIA</t>
  </si>
  <si>
    <t>prioridad</t>
  </si>
  <si>
    <t>Revicion de los CV de practicantes de smartbots</t>
  </si>
  <si>
    <t>urgente</t>
  </si>
  <si>
    <t>Revision con diego de credenciales de rrhh</t>
  </si>
  <si>
    <t>Compras de servicios con tarjeta de credito</t>
  </si>
  <si>
    <t>Bono Equipo de desarrollo por seguimiento de bots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</si>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</sst>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onardo Rivas Noriega" id="{2008a521-6f25-4f84-9c4e-39d73d64e213}" providerId="google-sheets"/>
</x18tc:personList>
</file>

<file path=xl/tables/table1.xml><?xml version="1.0" encoding="utf-8"?>
<table xmlns="http://schemas.openxmlformats.org/spreadsheetml/2006/main" ref="A1:M98" displayName="Tabla_1" name="Tabla_1" id="1">
  <autoFilter ref="$A$1:$M$98">
    <filterColumn colId="7">
      <filters>
        <filter val="En proceso"/>
        <filter val="Cancelado"/>
        <filter val="Pendiente"/>
        <filter val="En Proceso"/>
      </filters>
    </filterColumn>
  </autoFilter>
  <tableColumns count="13">
    <tableColumn name="ID" id="1"/>
    <tableColumn name="Tarea Destacada" id="2"/>
    <tableColumn name="Título de la Tarea" id="3"/>
    <tableColumn name="Área Afectada" id="4"/>
    <tableColumn name="Responsable de TI" id="5"/>
    <tableColumn name="Categoría" id="6"/>
    <tableColumn name="Prioridad" id="7"/>
    <tableColumn name="Estado" id="8"/>
    <tableColumn name="Fecha de Inicio" id="9"/>
    <tableColumn name="Fecha de Fin Estimada" id="10"/>
    <tableColumn name="Fecha Real de Producción" id="11"/>
    <tableColumn name="Progreso (%)" id="12"/>
    <tableColumn name="Observaciones" id="1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6-02T20:50:52.00" personId="{2008a521-6f25-4f84-9c4e-39d73d64e213}" id="{ae16d354-d2ed-4b43-ae65-4b212d37778b}" done="0">
    <x18tc:text xml:space="preserve">se esta agregando nuevos documentos y plantilla de formatos para llenar el opl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5.75"/>
    <col customWidth="1" min="3" max="3" width="42.63"/>
    <col customWidth="1" min="4" max="4" width="19.0"/>
    <col customWidth="1" min="5" max="5" width="26.25"/>
    <col customWidth="1" min="6" max="6" width="21.25"/>
    <col customWidth="1" min="7" max="7" width="29.5"/>
    <col customWidth="1" min="8" max="8" width="13.75"/>
    <col customWidth="1" min="9" max="9" width="19.5"/>
    <col customWidth="1" min="10" max="10" width="25.0"/>
    <col customWidth="1" min="11" max="11" width="27.38"/>
    <col customWidth="1" min="12" max="12" width="18.0"/>
    <col customWidth="1" min="13" max="13" width="32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hidden="1" customHeight="1">
      <c r="A2" s="3" t="str">
        <f t="shared" ref="A2:A98" si="1">IF(C2&lt;&gt;"", "IT-"&amp;TEXT(ROW(A2)-1, "000"), "")</f>
        <v>IT-001</v>
      </c>
      <c r="B2" s="4" t="b">
        <v>0</v>
      </c>
      <c r="C2" s="5" t="s">
        <v>13</v>
      </c>
      <c r="D2" s="6" t="s">
        <v>14</v>
      </c>
      <c r="E2" s="6" t="s">
        <v>15</v>
      </c>
      <c r="F2" s="7" t="str">
        <f>IFERROR(__xludf.DUMMYFUNCTION("TEXTJOIN("", "", TRUE, UNIQUE({IF(REGEXMATCH(E2, ""(?i)REYSON FARFAN|HERNAN CALLE""), ""Desarrollo"", """"); IF(REGEXMATCH(E2, ""(?i)GABRIEL ESCARATE|FATIMA VILLAJULCA|WILLIAM FLORES""), ""Automatización"", """"); IF(REGEXMATCH(E2, ""(?i)LEONARDO RIVAS"")"&amp;", ""Infraestructura"", """")}))"),"Desarrollo")</f>
        <v>Desarrollo</v>
      </c>
      <c r="G2" s="6" t="s">
        <v>16</v>
      </c>
      <c r="H2" s="7" t="str">
        <f t="shared" ref="H2:H4" si="2">IF(K2&lt;&gt;"", "Completado", IF(AND(J2&lt;&gt;"", J2&lt;TODAY()), "Demorado", "En Proceso"))</f>
        <v>Completado</v>
      </c>
      <c r="I2" s="8">
        <v>46037.0</v>
      </c>
      <c r="J2" s="9">
        <v>46068.0</v>
      </c>
      <c r="K2" s="8">
        <v>46113.0</v>
      </c>
      <c r="L2" s="10"/>
      <c r="M2" s="5" t="s">
        <v>17</v>
      </c>
    </row>
    <row r="3" ht="22.5" hidden="1" customHeight="1">
      <c r="A3" s="3" t="str">
        <f t="shared" si="1"/>
        <v>IT-002</v>
      </c>
      <c r="B3" s="4" t="b">
        <v>1</v>
      </c>
      <c r="C3" s="5" t="s">
        <v>18</v>
      </c>
      <c r="D3" s="6" t="s">
        <v>19</v>
      </c>
      <c r="E3" s="6" t="s">
        <v>20</v>
      </c>
      <c r="F3" s="7" t="str">
        <f>IFERROR(__xludf.DUMMYFUNCTION("TEXTJOIN("", "", TRUE, UNIQUE({IF(REGEXMATCH(E3, ""(?i)REYSON FARFAN|HERNAN CALLE""), ""Desarrollo"", """"); IF(REGEXMATCH(E3, ""(?i)GABRIEL ESCARATE|FATIMA VILLAJULCA|WILLIAM FLORES""), ""Automatización"", """"); IF(REGEXMATCH(E3, ""(?i)LEONARDO RIVAS"")"&amp;", ""Infraestructura"", """")}))"),"Automatización")</f>
        <v>Automatización</v>
      </c>
      <c r="G3" s="6" t="s">
        <v>21</v>
      </c>
      <c r="H3" s="7" t="str">
        <f t="shared" si="2"/>
        <v>Completado</v>
      </c>
      <c r="I3" s="8">
        <v>46062.0</v>
      </c>
      <c r="J3" s="9">
        <v>46127.0</v>
      </c>
      <c r="K3" s="8">
        <v>46127.0</v>
      </c>
      <c r="L3" s="10"/>
      <c r="M3" s="5" t="s">
        <v>22</v>
      </c>
    </row>
    <row r="4" ht="22.5" hidden="1" customHeight="1">
      <c r="A4" s="3" t="str">
        <f t="shared" si="1"/>
        <v>IT-003</v>
      </c>
      <c r="B4" s="4" t="b">
        <v>1</v>
      </c>
      <c r="C4" s="5" t="s">
        <v>23</v>
      </c>
      <c r="D4" s="6" t="s">
        <v>24</v>
      </c>
      <c r="E4" s="6" t="s">
        <v>15</v>
      </c>
      <c r="F4" s="11" t="str">
        <f>IFERROR(__xludf.DUMMYFUNCTION("TEXTJOIN("", "", TRUE, UNIQUE({IF(REGEXMATCH(E4, ""(?i)REYSON FARFAN|HERNAN CALLE""), ""Desarrollo"", """"); IF(REGEXMATCH(E4, ""(?i)GABRIEL ESCARATE|FATIMA VILLAJULCA|WILLIAM FLORES""), ""Automatización"", """"); IF(REGEXMATCH(E4, ""(?i)LEONARDO RIVAS"")"&amp;", ""Infraestructura"", """")}))"),"Desarrollo")</f>
        <v>Desarrollo</v>
      </c>
      <c r="G4" s="6" t="s">
        <v>16</v>
      </c>
      <c r="H4" s="7" t="str">
        <f t="shared" si="2"/>
        <v>Completado</v>
      </c>
      <c r="I4" s="8">
        <v>46068.0</v>
      </c>
      <c r="J4" s="9">
        <v>46111.0</v>
      </c>
      <c r="K4" s="8">
        <v>46174.0</v>
      </c>
      <c r="L4" s="10"/>
      <c r="M4" s="10"/>
    </row>
    <row r="5" ht="22.5" customHeight="1">
      <c r="A5" s="3" t="str">
        <f t="shared" si="1"/>
        <v>IT-004</v>
      </c>
      <c r="B5" s="4" t="b">
        <v>0</v>
      </c>
      <c r="C5" s="5" t="s">
        <v>25</v>
      </c>
      <c r="D5" s="6" t="s">
        <v>19</v>
      </c>
      <c r="E5" s="6" t="s">
        <v>26</v>
      </c>
      <c r="F5" s="7" t="str">
        <f>IFERROR(__xludf.DUMMYFUNCTION("TEXTJOIN("", "", TRUE, UNIQUE({IF(REGEXMATCH(E5, ""(?i)REYSON FARFAN|HERNAN CALLE""), ""Desarrollo"", """"); IF(REGEXMATCH(E5, ""(?i)GABRIEL ESCARATE|FATIMA VILLAJULCA|WILLIAM FLORES""), ""Automatización"", """"); IF(REGEXMATCH(E5, ""(?i)LEONARDO RIVAS"")"&amp;", ""Infraestructura"", """")}))"),"Automatización")</f>
        <v>Automatización</v>
      </c>
      <c r="G5" s="6" t="s">
        <v>21</v>
      </c>
      <c r="H5" s="6" t="s">
        <v>27</v>
      </c>
      <c r="I5" s="8">
        <v>46083.0</v>
      </c>
      <c r="J5" s="9">
        <v>46142.0</v>
      </c>
      <c r="K5" s="12"/>
      <c r="L5" s="13">
        <v>0.1</v>
      </c>
      <c r="M5" s="5" t="s">
        <v>28</v>
      </c>
    </row>
    <row r="6" ht="22.5" hidden="1" customHeight="1">
      <c r="A6" s="3" t="str">
        <f t="shared" si="1"/>
        <v>IT-005</v>
      </c>
      <c r="B6" s="4" t="b">
        <v>0</v>
      </c>
      <c r="C6" s="5" t="s">
        <v>29</v>
      </c>
      <c r="D6" s="6" t="s">
        <v>30</v>
      </c>
      <c r="E6" s="6" t="s">
        <v>20</v>
      </c>
      <c r="F6" s="7" t="str">
        <f>IFERROR(__xludf.DUMMYFUNCTION("TEXTJOIN("", "", TRUE, UNIQUE({IF(REGEXMATCH(E6, ""(?i)REYSON FARFAN|HERNAN CALLE""), ""Desarrollo"", """"); IF(REGEXMATCH(E6, ""(?i)GABRIEL ESCARATE|FATIMA VILLAJULCA|WILLIAM FLORES""), ""Automatización"", """"); IF(REGEXMATCH(E6, ""(?i)LEONARDO RIVAS"")"&amp;", ""Infraestructura"", """")}))"),"Automatización")</f>
        <v>Automatización</v>
      </c>
      <c r="G6" s="6" t="s">
        <v>16</v>
      </c>
      <c r="H6" s="7" t="str">
        <f>IF(K6&lt;&gt;"", "Completado", IF(AND(J6&lt;&gt;"", J6&lt;TODAY()), "Demorado", "En Proceso"))</f>
        <v>Completado</v>
      </c>
      <c r="I6" s="8">
        <v>46090.0</v>
      </c>
      <c r="J6" s="9">
        <v>46139.0</v>
      </c>
      <c r="K6" s="8">
        <v>46136.0</v>
      </c>
      <c r="L6" s="10"/>
      <c r="M6" s="10"/>
    </row>
    <row r="7" ht="22.5" customHeight="1">
      <c r="A7" s="3" t="str">
        <f t="shared" si="1"/>
        <v>IT-006</v>
      </c>
      <c r="B7" s="4" t="b">
        <v>1</v>
      </c>
      <c r="C7" s="5" t="s">
        <v>31</v>
      </c>
      <c r="D7" s="6" t="s">
        <v>14</v>
      </c>
      <c r="E7" s="6" t="s">
        <v>32</v>
      </c>
      <c r="F7" s="7" t="str">
        <f>IFERROR(__xludf.DUMMYFUNCTION("TEXTJOIN("", "", TRUE, UNIQUE({IF(REGEXMATCH(E7, ""(?i)REYSON FARFAN|HERNAN CALLE""), ""Desarrollo"", """"); IF(REGEXMATCH(E7, ""(?i)GABRIEL ESCARATE|FATIMA VILLAJULCA|WILLIAM FLORES""), ""Automatización"", """"); IF(REGEXMATCH(E7, ""(?i)LEONARDO RIVAS"")"&amp;", ""Infraestructura"", """")}))"),"Infraestructura")</f>
        <v>Infraestructura</v>
      </c>
      <c r="G7" s="6" t="s">
        <v>16</v>
      </c>
      <c r="H7" s="6" t="s">
        <v>33</v>
      </c>
      <c r="I7" s="8">
        <v>46100.0</v>
      </c>
      <c r="J7" s="9">
        <v>46265.0</v>
      </c>
      <c r="K7" s="12"/>
      <c r="L7" s="13">
        <v>0.15</v>
      </c>
      <c r="M7" s="5" t="s">
        <v>34</v>
      </c>
    </row>
    <row r="8" ht="22.5" customHeight="1">
      <c r="A8" s="3" t="str">
        <f t="shared" si="1"/>
        <v>IT-007</v>
      </c>
      <c r="B8" s="4" t="b">
        <v>0</v>
      </c>
      <c r="C8" s="5" t="s">
        <v>35</v>
      </c>
      <c r="D8" s="6" t="s">
        <v>14</v>
      </c>
      <c r="E8" s="6" t="s">
        <v>32</v>
      </c>
      <c r="F8" s="7" t="str">
        <f>IFERROR(__xludf.DUMMYFUNCTION("TEXTJOIN("", "", TRUE, UNIQUE({IF(REGEXMATCH(E8, ""(?i)REYSON FARFAN|HERNAN CALLE""), ""Desarrollo"", """"); IF(REGEXMATCH(E8, ""(?i)GABRIEL ESCARATE|FATIMA VILLAJULCA|WILLIAM FLORES""), ""Automatización"", """"); IF(REGEXMATCH(E8, ""(?i)LEONARDO RIVAS"")"&amp;", ""Infraestructura"", """")}))"),"Infraestructura")</f>
        <v>Infraestructura</v>
      </c>
      <c r="G8" s="6" t="s">
        <v>16</v>
      </c>
      <c r="H8" s="6" t="s">
        <v>36</v>
      </c>
      <c r="I8" s="8">
        <v>46100.0</v>
      </c>
      <c r="J8" s="9">
        <v>46265.0</v>
      </c>
      <c r="K8" s="12"/>
      <c r="L8" s="13">
        <v>0.0</v>
      </c>
      <c r="M8" s="10"/>
    </row>
    <row r="9" ht="22.5" hidden="1" customHeight="1">
      <c r="A9" s="3" t="str">
        <f t="shared" si="1"/>
        <v>IT-008</v>
      </c>
      <c r="B9" s="4" t="b">
        <v>1</v>
      </c>
      <c r="C9" s="5" t="s">
        <v>37</v>
      </c>
      <c r="D9" s="6" t="s">
        <v>19</v>
      </c>
      <c r="E9" s="6" t="s">
        <v>26</v>
      </c>
      <c r="F9" s="7" t="str">
        <f>IFERROR(__xludf.DUMMYFUNCTION("TEXTJOIN("", "", TRUE, UNIQUE({IF(REGEXMATCH(E9, ""(?i)REYSON FARFAN|HERNAN CALLE""), ""Desarrollo"", """"); IF(REGEXMATCH(E9, ""(?i)GABRIEL ESCARATE|FATIMA VILLAJULCA|WILLIAM FLORES""), ""Automatización"", """"); IF(REGEXMATCH(E9, ""(?i)LEONARDO RIVAS"")"&amp;", ""Infraestructura"", """")}))"),"Automatización")</f>
        <v>Automatización</v>
      </c>
      <c r="G9" s="6" t="s">
        <v>21</v>
      </c>
      <c r="H9" s="7" t="str">
        <f t="shared" ref="H9:H12" si="3">IF(K9&lt;&gt;"", "Completado", IF(AND(J9&lt;&gt;"", J9&lt;TODAY()), "Demorado", "En Proceso"))</f>
        <v>Completado</v>
      </c>
      <c r="I9" s="8">
        <v>46113.0</v>
      </c>
      <c r="J9" s="9">
        <v>46188.0</v>
      </c>
      <c r="K9" s="8">
        <v>46182.0</v>
      </c>
      <c r="L9" s="10"/>
      <c r="M9" s="10"/>
    </row>
    <row r="10" ht="22.5" customHeight="1">
      <c r="A10" s="3" t="str">
        <f t="shared" si="1"/>
        <v>IT-009</v>
      </c>
      <c r="B10" s="4" t="b">
        <v>1</v>
      </c>
      <c r="C10" s="5" t="s">
        <v>38</v>
      </c>
      <c r="D10" s="6" t="s">
        <v>39</v>
      </c>
      <c r="E10" s="6" t="s">
        <v>32</v>
      </c>
      <c r="F10" s="7" t="str">
        <f>IFERROR(__xludf.DUMMYFUNCTION("TEXTJOIN("", "", TRUE, UNIQUE({IF(REGEXMATCH(E10, ""(?i)REYSON FARFAN|HERNAN CALLE""), ""Desarrollo"", """"); IF(REGEXMATCH(E10, ""(?i)GABRIEL ESCARATE|FATIMA VILLAJULCA|WILLIAM FLORES""), ""Automatización"", """"); IF(REGEXMATCH(E10, ""(?i)LEONARDO RIVAS"&amp;"""), ""Infraestructura"", """")}))"),"Infraestructura")</f>
        <v>Infraestructura</v>
      </c>
      <c r="G10" s="6" t="s">
        <v>16</v>
      </c>
      <c r="H10" s="7" t="str">
        <f t="shared" si="3"/>
        <v>En Proceso</v>
      </c>
      <c r="I10" s="8">
        <v>46221.0</v>
      </c>
      <c r="J10" s="9">
        <v>46218.0</v>
      </c>
      <c r="K10" s="12"/>
      <c r="L10" s="13">
        <v>0.25</v>
      </c>
      <c r="M10" s="10"/>
    </row>
    <row r="11" ht="22.5" customHeight="1">
      <c r="A11" s="3" t="str">
        <f t="shared" si="1"/>
        <v>IT-010</v>
      </c>
      <c r="B11" s="4" t="b">
        <v>1</v>
      </c>
      <c r="C11" s="5" t="s">
        <v>40</v>
      </c>
      <c r="D11" s="6" t="s">
        <v>30</v>
      </c>
      <c r="E11" s="6" t="s">
        <v>41</v>
      </c>
      <c r="F11" s="7" t="str">
        <f>IFERROR(__xludf.DUMMYFUNCTION("TEXTJOIN("", "", TRUE, UNIQUE({IF(REGEXMATCH(E11, ""(?i)REYSON FARFAN|HERNAN CALLE""), ""Desarrollo"", """"); IF(REGEXMATCH(E11, ""(?i)GABRIEL ESCARATE|FATIMA VILLAJULCA|WILLIAM FLORES""), ""Automatización"", """"); IF(REGEXMATCH(E11, ""(?i)LEONARDO RIVAS"&amp;"""), ""Infraestructura"", """")}))"),"Automatización")</f>
        <v>Automatización</v>
      </c>
      <c r="G11" s="6" t="s">
        <v>16</v>
      </c>
      <c r="H11" s="7" t="str">
        <f t="shared" si="3"/>
        <v>En Proceso</v>
      </c>
      <c r="I11" s="8">
        <v>46132.0</v>
      </c>
      <c r="J11" s="9">
        <v>46203.0</v>
      </c>
      <c r="K11" s="12"/>
      <c r="L11" s="13">
        <v>0.5</v>
      </c>
      <c r="M11" s="10"/>
    </row>
    <row r="12" ht="22.5" hidden="1" customHeight="1">
      <c r="A12" s="3" t="str">
        <f t="shared" si="1"/>
        <v>IT-011</v>
      </c>
      <c r="B12" s="4" t="b">
        <v>0</v>
      </c>
      <c r="C12" s="5" t="s">
        <v>42</v>
      </c>
      <c r="D12" s="6" t="s">
        <v>43</v>
      </c>
      <c r="E12" s="6" t="s">
        <v>44</v>
      </c>
      <c r="F12" s="7" t="str">
        <f>IFERROR(__xludf.DUMMYFUNCTION("TEXTJOIN("", "", TRUE, UNIQUE({IF(REGEXMATCH(E12, ""(?i)REYSON FARFAN|HERNAN CALLE""), ""Desarrollo"", """"); IF(REGEXMATCH(E12, ""(?i)GABRIEL ESCARATE|FATIMA VILLAJULCA|WILLIAM FLORES""), ""Automatización"", """"); IF(REGEXMATCH(E12, ""(?i)LEONARDO RIVAS"&amp;"""), ""Infraestructura"", """")}))"),"Desarrollo")</f>
        <v>Desarrollo</v>
      </c>
      <c r="G12" s="6" t="s">
        <v>16</v>
      </c>
      <c r="H12" s="7" t="str">
        <f t="shared" si="3"/>
        <v>Completado</v>
      </c>
      <c r="I12" s="8">
        <v>46146.0</v>
      </c>
      <c r="J12" s="9">
        <v>46175.0</v>
      </c>
      <c r="K12" s="8">
        <v>46175.0</v>
      </c>
      <c r="L12" s="10"/>
      <c r="M12" s="10"/>
    </row>
    <row r="13" ht="22.5" customHeight="1">
      <c r="A13" s="3" t="str">
        <f t="shared" si="1"/>
        <v>IT-012</v>
      </c>
      <c r="B13" s="4" t="b">
        <v>0</v>
      </c>
      <c r="C13" s="5" t="s">
        <v>45</v>
      </c>
      <c r="D13" s="6" t="s">
        <v>43</v>
      </c>
      <c r="E13" s="6" t="s">
        <v>44</v>
      </c>
      <c r="F13" s="7" t="str">
        <f>IFERROR(__xludf.DUMMYFUNCTION("TEXTJOIN("", "", TRUE, UNIQUE({IF(REGEXMATCH(E13, ""(?i)REYSON FARFAN|HERNAN CALLE""), ""Desarrollo"", """"); IF(REGEXMATCH(E13, ""(?i)GABRIEL ESCARATE|FATIMA VILLAJULCA|WILLIAM FLORES""), ""Automatización"", """"); IF(REGEXMATCH(E13, ""(?i)LEONARDO RIVAS"&amp;"""), ""Infraestructura"", """")}))"),"Desarrollo")</f>
        <v>Desarrollo</v>
      </c>
      <c r="G13" s="6" t="s">
        <v>16</v>
      </c>
      <c r="H13" s="6" t="s">
        <v>46</v>
      </c>
      <c r="I13" s="8">
        <v>46153.0</v>
      </c>
      <c r="J13" s="9">
        <v>46200.0</v>
      </c>
      <c r="K13" s="8">
        <v>46192.0</v>
      </c>
      <c r="L13" s="13">
        <v>1.0</v>
      </c>
      <c r="M13" s="10"/>
    </row>
    <row r="14" ht="22.5" hidden="1" customHeight="1">
      <c r="A14" s="3" t="str">
        <f t="shared" si="1"/>
        <v>IT-013</v>
      </c>
      <c r="B14" s="4" t="b">
        <v>1</v>
      </c>
      <c r="C14" s="5" t="s">
        <v>47</v>
      </c>
      <c r="D14" s="6" t="s">
        <v>24</v>
      </c>
      <c r="E14" s="6" t="s">
        <v>15</v>
      </c>
      <c r="F14" s="7" t="str">
        <f>IFERROR(__xludf.DUMMYFUNCTION("TEXTJOIN("", "", TRUE, UNIQUE({IF(REGEXMATCH(E14, ""(?i)REYSON FARFAN|HERNAN CALLE""), ""Desarrollo"", """"); IF(REGEXMATCH(E14, ""(?i)GABRIEL ESCARATE|FATIMA VILLAJULCA|WILLIAM FLORES""), ""Automatización"", """"); IF(REGEXMATCH(E14, ""(?i)LEONARDO RIVAS"&amp;"""), ""Infraestructura"", """")}))"),"Desarrollo")</f>
        <v>Desarrollo</v>
      </c>
      <c r="G14" s="6" t="s">
        <v>21</v>
      </c>
      <c r="H14" s="7" t="str">
        <f t="shared" ref="H14:H98" si="4">IF(K14&lt;&gt;"", "Completado", IF(AND(J14&lt;&gt;"", J14&lt;TODAY()), "Demorado", "En Proceso"))</f>
        <v>Completado</v>
      </c>
      <c r="I14" s="8">
        <v>46160.0</v>
      </c>
      <c r="J14" s="9">
        <v>46170.0</v>
      </c>
      <c r="K14" s="8">
        <v>46175.0</v>
      </c>
      <c r="L14" s="10"/>
      <c r="M14" s="10"/>
    </row>
    <row r="15" ht="22.5" customHeight="1">
      <c r="A15" s="3" t="str">
        <f t="shared" si="1"/>
        <v>IT-014</v>
      </c>
      <c r="B15" s="4" t="b">
        <v>1</v>
      </c>
      <c r="C15" s="5" t="s">
        <v>48</v>
      </c>
      <c r="D15" s="6" t="s">
        <v>39</v>
      </c>
      <c r="E15" s="6" t="s">
        <v>32</v>
      </c>
      <c r="F15" s="7" t="str">
        <f>IFERROR(__xludf.DUMMYFUNCTION("TEXTJOIN("", "", TRUE, UNIQUE({IF(REGEXMATCH(E15, ""(?i)REYSON FARFAN|HERNAN CALLE""), ""Desarrollo"", """"); IF(REGEXMATCH(E15, ""(?i)GABRIEL ESCARATE|FATIMA VILLAJULCA|WILLIAM FLORES""), ""Automatización"", """"); IF(REGEXMATCH(E15, ""(?i)LEONARDO RIVAS"&amp;"""), ""Infraestructura"", """")}))"),"Infraestructura")</f>
        <v>Infraestructura</v>
      </c>
      <c r="G15" s="6" t="s">
        <v>16</v>
      </c>
      <c r="H15" s="7" t="str">
        <f t="shared" si="4"/>
        <v>Completado</v>
      </c>
      <c r="I15" s="8">
        <v>46165.0</v>
      </c>
      <c r="J15" s="9">
        <v>46192.0</v>
      </c>
      <c r="K15" s="8">
        <v>46188.0</v>
      </c>
      <c r="L15" s="13">
        <v>1.0</v>
      </c>
      <c r="M15" s="10"/>
    </row>
    <row r="16" ht="22.5" customHeight="1">
      <c r="A16" s="3" t="str">
        <f t="shared" si="1"/>
        <v>IT-015</v>
      </c>
      <c r="B16" s="4" t="b">
        <v>0</v>
      </c>
      <c r="C16" s="5" t="s">
        <v>49</v>
      </c>
      <c r="D16" s="6" t="s">
        <v>43</v>
      </c>
      <c r="E16" s="6" t="s">
        <v>44</v>
      </c>
      <c r="F16" s="7" t="str">
        <f>IFERROR(__xludf.DUMMYFUNCTION("TEXTJOIN("", "", TRUE, UNIQUE({IF(REGEXMATCH(E16, ""(?i)REYSON FARFAN|HERNAN CALLE""), ""Desarrollo"", """"); IF(REGEXMATCH(E16, ""(?i)GABRIEL ESCARATE|FATIMA VILLAJULCA|WILLIAM FLORES""), ""Automatización"", """"); IF(REGEXMATCH(E16, ""(?i)LEONARDO RIVAS"&amp;"""), ""Infraestructura"", """")}))"),"Desarrollo")</f>
        <v>Desarrollo</v>
      </c>
      <c r="G16" s="6" t="s">
        <v>21</v>
      </c>
      <c r="H16" s="7" t="str">
        <f t="shared" si="4"/>
        <v>Completado</v>
      </c>
      <c r="I16" s="8">
        <v>46167.0</v>
      </c>
      <c r="J16" s="9">
        <v>46234.0</v>
      </c>
      <c r="K16" s="8">
        <v>46209.0</v>
      </c>
      <c r="L16" s="13">
        <v>1.0</v>
      </c>
      <c r="M16" s="10"/>
    </row>
    <row r="17" ht="22.5" customHeight="1">
      <c r="A17" s="3" t="str">
        <f t="shared" si="1"/>
        <v>IT-016</v>
      </c>
      <c r="B17" s="4" t="b">
        <v>1</v>
      </c>
      <c r="C17" s="5" t="s">
        <v>50</v>
      </c>
      <c r="D17" s="6" t="s">
        <v>43</v>
      </c>
      <c r="E17" s="6" t="s">
        <v>44</v>
      </c>
      <c r="F17" s="7" t="str">
        <f>IFERROR(__xludf.DUMMYFUNCTION("TEXTJOIN("", "", TRUE, UNIQUE({IF(REGEXMATCH(E17, ""(?i)REYSON FARFAN|HERNAN CALLE""), ""Desarrollo"", """"); IF(REGEXMATCH(E17, ""(?i)GABRIEL ESCARATE|FATIMA VILLAJULCA|WILLIAM FLORES""), ""Automatización"", """"); IF(REGEXMATCH(E17, ""(?i)LEONARDO RIVAS"&amp;"""), ""Infraestructura"", """")}))"),"Desarrollo")</f>
        <v>Desarrollo</v>
      </c>
      <c r="G17" s="6" t="s">
        <v>16</v>
      </c>
      <c r="H17" s="7" t="str">
        <f t="shared" si="4"/>
        <v>En Proceso</v>
      </c>
      <c r="I17" s="8">
        <v>46167.0</v>
      </c>
      <c r="J17" s="9">
        <v>46234.0</v>
      </c>
      <c r="K17" s="12"/>
      <c r="L17" s="13">
        <v>0.5</v>
      </c>
      <c r="M17" s="10"/>
    </row>
    <row r="18" ht="22.5" customHeight="1">
      <c r="A18" s="3" t="str">
        <f t="shared" si="1"/>
        <v>IT-017</v>
      </c>
      <c r="B18" s="4" t="b">
        <v>0</v>
      </c>
      <c r="C18" s="5" t="s">
        <v>51</v>
      </c>
      <c r="D18" s="6" t="s">
        <v>52</v>
      </c>
      <c r="E18" s="6" t="s">
        <v>44</v>
      </c>
      <c r="F18" s="7" t="str">
        <f>IFERROR(__xludf.DUMMYFUNCTION("TEXTJOIN("", "", TRUE, UNIQUE({IF(REGEXMATCH(E18, ""(?i)REYSON FARFAN|HERNAN CALLE""), ""Desarrollo"", """"); IF(REGEXMATCH(E18, ""(?i)GABRIEL ESCARATE|FATIMA VILLAJULCA|WILLIAM FLORES""), ""Automatización"", """"); IF(REGEXMATCH(E18, ""(?i)LEONARDO RIVAS"&amp;"""), ""Infraestructura"", """")}))"),"Desarrollo")</f>
        <v>Desarrollo</v>
      </c>
      <c r="G18" s="6" t="s">
        <v>53</v>
      </c>
      <c r="H18" s="7" t="str">
        <f t="shared" si="4"/>
        <v>En Proceso</v>
      </c>
      <c r="I18" s="8">
        <v>46174.0</v>
      </c>
      <c r="J18" s="9">
        <v>46203.0</v>
      </c>
      <c r="K18" s="12"/>
      <c r="L18" s="13">
        <v>0.0</v>
      </c>
      <c r="M18" s="10"/>
    </row>
    <row r="19" ht="22.5" customHeight="1">
      <c r="A19" s="3" t="str">
        <f t="shared" si="1"/>
        <v>IT-018</v>
      </c>
      <c r="B19" s="4" t="b">
        <v>1</v>
      </c>
      <c r="C19" s="5" t="s">
        <v>54</v>
      </c>
      <c r="D19" s="6" t="s">
        <v>55</v>
      </c>
      <c r="E19" s="6" t="s">
        <v>15</v>
      </c>
      <c r="F19" s="7" t="str">
        <f>IFERROR(__xludf.DUMMYFUNCTION("TEXTJOIN("", "", TRUE, UNIQUE({IF(REGEXMATCH(E19, ""(?i)REYSON FARFAN|HERNAN CALLE""), ""Desarrollo"", """"); IF(REGEXMATCH(E19, ""(?i)GABRIEL ESCARATE|FATIMA VILLAJULCA|WILLIAM FLORES""), ""Automatización"", """"); IF(REGEXMATCH(E19, ""(?i)LEONARDO RIVAS"&amp;"""), ""Infraestructura"", """")}))"),"Desarrollo")</f>
        <v>Desarrollo</v>
      </c>
      <c r="G19" s="6" t="s">
        <v>16</v>
      </c>
      <c r="H19" s="7" t="str">
        <f t="shared" si="4"/>
        <v>Completado</v>
      </c>
      <c r="I19" s="8">
        <v>46174.0</v>
      </c>
      <c r="J19" s="9">
        <v>46185.0</v>
      </c>
      <c r="K19" s="8">
        <v>46184.0</v>
      </c>
      <c r="L19" s="13">
        <v>1.0</v>
      </c>
      <c r="M19" s="10"/>
    </row>
    <row r="20" ht="22.5" customHeight="1">
      <c r="A20" s="3" t="str">
        <f t="shared" si="1"/>
        <v>IT-019</v>
      </c>
      <c r="B20" s="4" t="b">
        <v>0</v>
      </c>
      <c r="C20" s="5" t="s">
        <v>56</v>
      </c>
      <c r="D20" s="6" t="s">
        <v>24</v>
      </c>
      <c r="E20" s="6" t="s">
        <v>15</v>
      </c>
      <c r="F20" s="7" t="str">
        <f>IFERROR(__xludf.DUMMYFUNCTION("TEXTJOIN("", "", TRUE, UNIQUE({IF(REGEXMATCH(E20, ""(?i)REYSON FARFAN|HERNAN CALLE""), ""Desarrollo"", """"); IF(REGEXMATCH(E20, ""(?i)GABRIEL ESCARATE|FATIMA VILLAJULCA|WILLIAM FLORES""), ""Automatización"", """"); IF(REGEXMATCH(E20, ""(?i)LEONARDO RIVAS"&amp;"""), ""Infraestructura"", """")}))"),"Desarrollo")</f>
        <v>Desarrollo</v>
      </c>
      <c r="G20" s="6" t="s">
        <v>53</v>
      </c>
      <c r="H20" s="7" t="str">
        <f t="shared" si="4"/>
        <v>En Proceso</v>
      </c>
      <c r="I20" s="8">
        <v>46174.0</v>
      </c>
      <c r="J20" s="9">
        <v>46203.0</v>
      </c>
      <c r="K20" s="12"/>
      <c r="L20" s="13">
        <v>0.4</v>
      </c>
    </row>
    <row r="21" ht="22.5" customHeight="1">
      <c r="A21" s="3" t="str">
        <f t="shared" si="1"/>
        <v>IT-020</v>
      </c>
      <c r="B21" s="4" t="b">
        <v>0</v>
      </c>
      <c r="C21" s="5" t="s">
        <v>57</v>
      </c>
      <c r="D21" s="6" t="s">
        <v>24</v>
      </c>
      <c r="E21" s="6" t="s">
        <v>15</v>
      </c>
      <c r="F21" s="7" t="str">
        <f>IFERROR(__xludf.DUMMYFUNCTION("TEXTJOIN("", "", TRUE, UNIQUE({IF(REGEXMATCH(E21, ""(?i)REYSON FARFAN|HERNAN CALLE""), ""Desarrollo"", """"); IF(REGEXMATCH(E21, ""(?i)GABRIEL ESCARATE|FATIMA VILLAJULCA|WILLIAM FLORES""), ""Automatización"", """"); IF(REGEXMATCH(E21, ""(?i)LEONARDO RIVAS"&amp;"""), ""Infraestructura"", """")}))"),"Desarrollo")</f>
        <v>Desarrollo</v>
      </c>
      <c r="G21" s="6" t="s">
        <v>16</v>
      </c>
      <c r="H21" s="7" t="str">
        <f t="shared" si="4"/>
        <v>Completado</v>
      </c>
      <c r="I21" s="8">
        <v>46174.0</v>
      </c>
      <c r="J21" s="9">
        <v>46176.0</v>
      </c>
      <c r="K21" s="8">
        <v>46176.0</v>
      </c>
      <c r="L21" s="13">
        <v>1.0</v>
      </c>
      <c r="M21" s="10"/>
    </row>
    <row r="22" ht="22.5" customHeight="1">
      <c r="A22" s="3" t="str">
        <f t="shared" si="1"/>
        <v>IT-021</v>
      </c>
      <c r="B22" s="4" t="b">
        <v>0</v>
      </c>
      <c r="C22" s="5" t="s">
        <v>58</v>
      </c>
      <c r="D22" s="6" t="s">
        <v>30</v>
      </c>
      <c r="E22" s="6" t="s">
        <v>44</v>
      </c>
      <c r="F22" s="7" t="str">
        <f>IFERROR(__xludf.DUMMYFUNCTION("TEXTJOIN("", "", TRUE, UNIQUE({IF(REGEXMATCH(E22, ""(?i)REYSON FARFAN|HERNAN CALLE""), ""Desarrollo"", """"); IF(REGEXMATCH(E22, ""(?i)GABRIEL ESCARATE|FATIMA VILLAJULCA|WILLIAM FLORES""), ""Automatización"", """"); IF(REGEXMATCH(E22, ""(?i)LEONARDO RIVAS"&amp;"""), ""Infraestructura"", """")}))"),"Desarrollo")</f>
        <v>Desarrollo</v>
      </c>
      <c r="G22" s="6" t="s">
        <v>16</v>
      </c>
      <c r="H22" s="7" t="str">
        <f t="shared" si="4"/>
        <v>Completado</v>
      </c>
      <c r="I22" s="8">
        <v>46174.0</v>
      </c>
      <c r="J22" s="9">
        <v>46181.0</v>
      </c>
      <c r="K22" s="8">
        <v>46185.0</v>
      </c>
      <c r="L22" s="13">
        <v>1.0</v>
      </c>
      <c r="M22" s="10"/>
    </row>
    <row r="23" ht="22.5" customHeight="1">
      <c r="A23" s="3" t="str">
        <f t="shared" si="1"/>
        <v>IT-022</v>
      </c>
      <c r="B23" s="4" t="b">
        <v>1</v>
      </c>
      <c r="C23" s="5" t="s">
        <v>59</v>
      </c>
      <c r="D23" s="6" t="s">
        <v>60</v>
      </c>
      <c r="E23" s="6" t="s">
        <v>41</v>
      </c>
      <c r="F23" s="7" t="str">
        <f>IFERROR(__xludf.DUMMYFUNCTION("TEXTJOIN("", "", TRUE, UNIQUE({IF(REGEXMATCH(E23, ""(?i)REYSON FARFAN|HERNAN CALLE""), ""Desarrollo"", """"); IF(REGEXMATCH(E23, ""(?i)GABRIEL ESCARATE|FATIMA VILLAJULCA|WILLIAM FLORES""), ""Automatización"", """"); IF(REGEXMATCH(E23, ""(?i)LEONARDO RIVAS"&amp;"""), ""Infraestructura"", """")}))"),"Automatización")</f>
        <v>Automatización</v>
      </c>
      <c r="G23" s="6" t="s">
        <v>16</v>
      </c>
      <c r="H23" s="7" t="str">
        <f t="shared" si="4"/>
        <v>En Proceso</v>
      </c>
      <c r="I23" s="8">
        <v>46174.0</v>
      </c>
      <c r="J23" s="9">
        <v>46295.0</v>
      </c>
      <c r="K23" s="12"/>
      <c r="L23" s="13">
        <v>0.15</v>
      </c>
      <c r="M23" s="10"/>
    </row>
    <row r="24" ht="22.5" customHeight="1">
      <c r="A24" s="3" t="str">
        <f t="shared" si="1"/>
        <v>IT-023</v>
      </c>
      <c r="B24" s="4" t="b">
        <v>0</v>
      </c>
      <c r="C24" s="5" t="s">
        <v>61</v>
      </c>
      <c r="D24" s="6" t="s">
        <v>30</v>
      </c>
      <c r="E24" s="6" t="s">
        <v>20</v>
      </c>
      <c r="F24" s="7" t="str">
        <f>IFERROR(__xludf.DUMMYFUNCTION("TEXTJOIN("", "", TRUE, UNIQUE({IF(REGEXMATCH(E24, ""(?i)REYSON FARFAN|HERNAN CALLE""), ""Desarrollo"", """"); IF(REGEXMATCH(E24, ""(?i)GABRIEL ESCARATE|FATIMA VILLAJULCA|WILLIAM FLORES""), ""Automatización"", """"); IF(REGEXMATCH(E24, ""(?i)LEONARDO RIVAS"&amp;"""), ""Infraestructura"", """")}))"),"Automatización")</f>
        <v>Automatización</v>
      </c>
      <c r="G24" s="6" t="s">
        <v>21</v>
      </c>
      <c r="H24" s="7" t="str">
        <f t="shared" si="4"/>
        <v>Completado</v>
      </c>
      <c r="I24" s="8">
        <v>46175.0</v>
      </c>
      <c r="J24" s="9">
        <v>46181.0</v>
      </c>
      <c r="K24" s="8">
        <v>46183.0</v>
      </c>
      <c r="L24" s="13">
        <v>1.0</v>
      </c>
      <c r="M24" s="10"/>
    </row>
    <row r="25" ht="22.5" customHeight="1">
      <c r="A25" s="3" t="str">
        <f t="shared" si="1"/>
        <v>IT-024</v>
      </c>
      <c r="B25" s="4" t="b">
        <v>0</v>
      </c>
      <c r="C25" s="5" t="s">
        <v>62</v>
      </c>
      <c r="D25" s="6" t="s">
        <v>63</v>
      </c>
      <c r="E25" s="6" t="s">
        <v>44</v>
      </c>
      <c r="F25" s="7" t="str">
        <f>IFERROR(__xludf.DUMMYFUNCTION("TEXTJOIN("", "", TRUE, UNIQUE({IF(REGEXMATCH(E25, ""(?i)REYSON FARFAN|HERNAN CALLE""), ""Desarrollo"", """"); IF(REGEXMATCH(E25, ""(?i)GABRIEL ESCARATE|FATIMA VILLAJULCA|WILLIAM FLORES""), ""Automatización"", """"); IF(REGEXMATCH(E25, ""(?i)LEONARDO RIVAS"&amp;"""), ""Infraestructura"", """")}))"),"Desarrollo")</f>
        <v>Desarrollo</v>
      </c>
      <c r="G25" s="6" t="s">
        <v>16</v>
      </c>
      <c r="H25" s="7" t="str">
        <f t="shared" si="4"/>
        <v>En Proceso</v>
      </c>
      <c r="I25" s="8">
        <v>46175.0</v>
      </c>
      <c r="J25" s="9">
        <v>46280.0</v>
      </c>
      <c r="K25" s="12"/>
      <c r="L25" s="13">
        <v>0.0</v>
      </c>
      <c r="M25" s="10"/>
    </row>
    <row r="26" ht="22.5" customHeight="1">
      <c r="A26" s="3" t="str">
        <f t="shared" si="1"/>
        <v>IT-025</v>
      </c>
      <c r="B26" s="4" t="b">
        <v>0</v>
      </c>
      <c r="C26" s="5" t="s">
        <v>64</v>
      </c>
      <c r="D26" s="6" t="s">
        <v>63</v>
      </c>
      <c r="E26" s="6" t="s">
        <v>32</v>
      </c>
      <c r="F26" s="7" t="str">
        <f>IFERROR(__xludf.DUMMYFUNCTION("TEXTJOIN("", "", TRUE, UNIQUE({IF(REGEXMATCH(E26, ""(?i)REYSON FARFAN|HERNAN CALLE""), ""Desarrollo"", """"); IF(REGEXMATCH(E26, ""(?i)GABRIEL ESCARATE|FATIMA VILLAJULCA|WILLIAM FLORES""), ""Automatización"", """"); IF(REGEXMATCH(E26, ""(?i)LEONARDO RIVAS"&amp;"""), ""Infraestructura"", """")}))"),"Infraestructura")</f>
        <v>Infraestructura</v>
      </c>
      <c r="G26" s="6" t="s">
        <v>53</v>
      </c>
      <c r="H26" s="7" t="str">
        <f t="shared" si="4"/>
        <v>En Proceso</v>
      </c>
      <c r="I26" s="8">
        <v>46175.0</v>
      </c>
      <c r="J26" s="9">
        <v>46280.0</v>
      </c>
      <c r="K26" s="12"/>
      <c r="L26" s="13">
        <v>0.0</v>
      </c>
      <c r="M26" s="10"/>
    </row>
    <row r="27" ht="22.5" customHeight="1">
      <c r="A27" s="3" t="str">
        <f t="shared" si="1"/>
        <v>IT-026</v>
      </c>
      <c r="B27" s="4" t="b">
        <v>1</v>
      </c>
      <c r="C27" s="5" t="s">
        <v>65</v>
      </c>
      <c r="D27" s="6" t="s">
        <v>66</v>
      </c>
      <c r="E27" s="6" t="s">
        <v>32</v>
      </c>
      <c r="F27" s="7" t="str">
        <f>IFERROR(__xludf.DUMMYFUNCTION("TEXTJOIN("", "", TRUE, UNIQUE({IF(REGEXMATCH(E27, ""(?i)REYSON FARFAN|HERNAN CALLE""), ""Desarrollo"", """"); IF(REGEXMATCH(E27, ""(?i)GABRIEL ESCARATE|FATIMA VILLAJULCA|WILLIAM FLORES""), ""Automatización"", """"); IF(REGEXMATCH(E27, ""(?i)LEONARDO RIVAS"&amp;"""), ""Infraestructura"", """")}))"),"Infraestructura")</f>
        <v>Infraestructura</v>
      </c>
      <c r="G27" s="6" t="s">
        <v>16</v>
      </c>
      <c r="H27" s="7" t="str">
        <f t="shared" si="4"/>
        <v>Completado</v>
      </c>
      <c r="I27" s="8">
        <v>46175.0</v>
      </c>
      <c r="J27" s="9">
        <v>46185.0</v>
      </c>
      <c r="K27" s="8">
        <v>46189.0</v>
      </c>
      <c r="L27" s="13">
        <v>1.0</v>
      </c>
      <c r="M27" s="10"/>
    </row>
    <row r="28" ht="22.5" customHeight="1">
      <c r="A28" s="3" t="str">
        <f t="shared" si="1"/>
        <v>IT-027</v>
      </c>
      <c r="B28" s="4" t="b">
        <v>1</v>
      </c>
      <c r="C28" s="5" t="s">
        <v>67</v>
      </c>
      <c r="D28" s="6" t="s">
        <v>39</v>
      </c>
      <c r="E28" s="6" t="s">
        <v>32</v>
      </c>
      <c r="F28" s="7" t="str">
        <f>IFERROR(__xludf.DUMMYFUNCTION("TEXTJOIN("", "", TRUE, UNIQUE({IF(REGEXMATCH(E28, ""(?i)REYSON FARFAN|HERNAN CALLE""), ""Desarrollo"", """"); IF(REGEXMATCH(E28, ""(?i)GABRIEL ESCARATE|FATIMA VILLAJULCA|WILLIAM FLORES""), ""Automatización"", """"); IF(REGEXMATCH(E28, ""(?i)LEONARDO RIVAS"&amp;"""), ""Infraestructura"", """")}))"),"Infraestructura")</f>
        <v>Infraestructura</v>
      </c>
      <c r="G28" s="6" t="s">
        <v>16</v>
      </c>
      <c r="H28" s="7" t="str">
        <f t="shared" si="4"/>
        <v>Completado</v>
      </c>
      <c r="I28" s="8">
        <v>46175.0</v>
      </c>
      <c r="J28" s="9">
        <v>46181.0</v>
      </c>
      <c r="K28" s="8">
        <v>46182.0</v>
      </c>
      <c r="L28" s="13">
        <v>1.0</v>
      </c>
      <c r="M28" s="10"/>
    </row>
    <row r="29" ht="22.5" customHeight="1">
      <c r="A29" s="3" t="str">
        <f t="shared" si="1"/>
        <v>IT-028</v>
      </c>
      <c r="B29" s="4" t="b">
        <v>0</v>
      </c>
      <c r="C29" s="5" t="s">
        <v>68</v>
      </c>
      <c r="D29" s="6" t="s">
        <v>24</v>
      </c>
      <c r="E29" s="6" t="s">
        <v>15</v>
      </c>
      <c r="F29" s="7" t="str">
        <f>IFERROR(__xludf.DUMMYFUNCTION("TEXTJOIN("", "", TRUE, UNIQUE({IF(REGEXMATCH(E29, ""(?i)REYSON FARFAN|HERNAN CALLE""), ""Desarrollo"", """"); IF(REGEXMATCH(E29, ""(?i)GABRIEL ESCARATE|FATIMA VILLAJULCA|WILLIAM FLORES""), ""Automatización"", """"); IF(REGEXMATCH(E29, ""(?i)LEONARDO RIVAS"&amp;"""), ""Infraestructura"", """")}))"),"Desarrollo")</f>
        <v>Desarrollo</v>
      </c>
      <c r="G29" s="6" t="s">
        <v>21</v>
      </c>
      <c r="H29" s="7" t="str">
        <f t="shared" si="4"/>
        <v>Completado</v>
      </c>
      <c r="I29" s="8">
        <v>46185.0</v>
      </c>
      <c r="J29" s="9">
        <v>46188.0</v>
      </c>
      <c r="K29" s="8">
        <v>46175.0</v>
      </c>
      <c r="L29" s="13">
        <v>1.0</v>
      </c>
      <c r="M29" s="10"/>
    </row>
    <row r="30" ht="22.5" customHeight="1">
      <c r="A30" s="3" t="str">
        <f t="shared" si="1"/>
        <v>IT-029</v>
      </c>
      <c r="B30" s="4" t="b">
        <v>0</v>
      </c>
      <c r="C30" s="5" t="s">
        <v>69</v>
      </c>
      <c r="D30" s="6" t="s">
        <v>70</v>
      </c>
      <c r="E30" s="6" t="s">
        <v>15</v>
      </c>
      <c r="F30" s="7" t="str">
        <f>IFERROR(__xludf.DUMMYFUNCTION("TEXTJOIN("", "", TRUE, UNIQUE({IF(REGEXMATCH(E30, ""(?i)REYSON FARFAN|HERNAN CALLE""), ""Desarrollo"", """"); IF(REGEXMATCH(E30, ""(?i)GABRIEL ESCARATE|FATIMA VILLAJULCA|WILLIAM FLORES""), ""Automatización"", """"); IF(REGEXMATCH(E30, ""(?i)LEONARDO RIVAS"&amp;"""), ""Infraestructura"", """")}))"),"Desarrollo")</f>
        <v>Desarrollo</v>
      </c>
      <c r="G30" s="6" t="s">
        <v>53</v>
      </c>
      <c r="H30" s="7" t="str">
        <f t="shared" si="4"/>
        <v>Completado</v>
      </c>
      <c r="I30" s="8">
        <v>46184.0</v>
      </c>
      <c r="J30" s="9">
        <v>46190.0</v>
      </c>
      <c r="K30" s="8">
        <v>46185.0</v>
      </c>
      <c r="L30" s="13">
        <v>1.0</v>
      </c>
      <c r="M30" s="10"/>
    </row>
    <row r="31" ht="22.5" customHeight="1">
      <c r="A31" s="3" t="str">
        <f t="shared" si="1"/>
        <v>IT-030</v>
      </c>
      <c r="B31" s="4" t="b">
        <v>1</v>
      </c>
      <c r="C31" s="5" t="s">
        <v>71</v>
      </c>
      <c r="D31" s="6" t="s">
        <v>70</v>
      </c>
      <c r="E31" s="6" t="s">
        <v>15</v>
      </c>
      <c r="F31" s="7" t="str">
        <f>IFERROR(__xludf.DUMMYFUNCTION("TEXTJOIN("", "", TRUE, UNIQUE({IF(REGEXMATCH(E31, ""(?i)REYSON FARFAN|HERNAN CALLE""), ""Desarrollo"", """"); IF(REGEXMATCH(E31, ""(?i)GABRIEL ESCARATE|FATIMA VILLAJULCA|WILLIAM FLORES""), ""Automatización"", """"); IF(REGEXMATCH(E31, ""(?i)LEONARDO RIVAS"&amp;"""), ""Infraestructura"", """")}))"),"Desarrollo")</f>
        <v>Desarrollo</v>
      </c>
      <c r="G31" s="6" t="s">
        <v>21</v>
      </c>
      <c r="H31" s="7" t="str">
        <f t="shared" si="4"/>
        <v>En Proceso</v>
      </c>
      <c r="I31" s="8">
        <v>46185.0</v>
      </c>
      <c r="J31" s="9">
        <v>46192.0</v>
      </c>
      <c r="K31" s="12"/>
      <c r="L31" s="13">
        <v>0.3</v>
      </c>
      <c r="M31" s="10"/>
    </row>
    <row r="32" ht="22.5" customHeight="1">
      <c r="A32" s="3" t="str">
        <f t="shared" si="1"/>
        <v>IT-031</v>
      </c>
      <c r="B32" s="4" t="b">
        <v>1</v>
      </c>
      <c r="C32" s="5" t="s">
        <v>72</v>
      </c>
      <c r="D32" s="6" t="s">
        <v>43</v>
      </c>
      <c r="E32" s="6" t="s">
        <v>44</v>
      </c>
      <c r="F32" s="7" t="str">
        <f>IFERROR(__xludf.DUMMYFUNCTION("TEXTJOIN("", "", TRUE, UNIQUE({IF(REGEXMATCH(E32, ""(?i)REYSON FARFAN|HERNAN CALLE""), ""Desarrollo"", """"); IF(REGEXMATCH(E32, ""(?i)GABRIEL ESCARATE|FATIMA VILLAJULCA|WILLIAM FLORES""), ""Automatización"", """"); IF(REGEXMATCH(E32, ""(?i)LEONARDO RIVAS"&amp;"""), ""Infraestructura"", """")}))"),"Desarrollo")</f>
        <v>Desarrollo</v>
      </c>
      <c r="G32" s="6" t="s">
        <v>21</v>
      </c>
      <c r="H32" s="7" t="str">
        <f t="shared" si="4"/>
        <v>En Proceso</v>
      </c>
      <c r="I32" s="8">
        <v>46191.0</v>
      </c>
      <c r="J32" s="9">
        <v>46199.0</v>
      </c>
      <c r="K32" s="12"/>
      <c r="L32" s="13">
        <v>0.8</v>
      </c>
      <c r="M32" s="10"/>
    </row>
    <row r="33" ht="22.5" customHeight="1">
      <c r="A33" s="3" t="str">
        <f t="shared" si="1"/>
        <v>IT-032</v>
      </c>
      <c r="B33" s="4" t="b">
        <v>1</v>
      </c>
      <c r="C33" s="5" t="s">
        <v>73</v>
      </c>
      <c r="D33" s="6" t="s">
        <v>43</v>
      </c>
      <c r="E33" s="6" t="s">
        <v>44</v>
      </c>
      <c r="F33" s="7" t="str">
        <f>IFERROR(__xludf.DUMMYFUNCTION("TEXTJOIN("", "", TRUE, UNIQUE({IF(REGEXMATCH(E33, ""(?i)REYSON FARFAN|HERNAN CALLE""), ""Desarrollo"", """"); IF(REGEXMATCH(E33, ""(?i)GABRIEL ESCARATE|FATIMA VILLAJULCA|WILLIAM FLORES""), ""Automatización"", """"); IF(REGEXMATCH(E33, ""(?i)LEONARDO RIVAS"&amp;"""), ""Infraestructura"", """")}))"),"Desarrollo")</f>
        <v>Desarrollo</v>
      </c>
      <c r="G33" s="6" t="s">
        <v>16</v>
      </c>
      <c r="H33" s="7" t="str">
        <f t="shared" si="4"/>
        <v>En Proceso</v>
      </c>
      <c r="I33" s="8">
        <v>46185.0</v>
      </c>
      <c r="J33" s="9">
        <v>46192.0</v>
      </c>
      <c r="K33" s="12"/>
      <c r="L33" s="13">
        <v>0.3</v>
      </c>
      <c r="M33" s="10"/>
    </row>
    <row r="34" ht="22.5" customHeight="1">
      <c r="A34" s="3" t="str">
        <f t="shared" si="1"/>
        <v>IT-033</v>
      </c>
      <c r="B34" s="4" t="b">
        <v>0</v>
      </c>
      <c r="C34" s="5" t="s">
        <v>74</v>
      </c>
      <c r="D34" s="6" t="s">
        <v>43</v>
      </c>
      <c r="E34" s="6" t="s">
        <v>44</v>
      </c>
      <c r="F34" s="7" t="str">
        <f>IFERROR(__xludf.DUMMYFUNCTION("TEXTJOIN("", "", TRUE, UNIQUE({IF(REGEXMATCH(E34, ""(?i)REYSON FARFAN|HERNAN CALLE""), ""Desarrollo"", """"); IF(REGEXMATCH(E34, ""(?i)GABRIEL ESCARATE|FATIMA VILLAJULCA|WILLIAM FLORES""), ""Automatización"", """"); IF(REGEXMATCH(E34, ""(?i)LEONARDO RIVAS"&amp;"""), ""Infraestructura"", """")}))"),"Desarrollo")</f>
        <v>Desarrollo</v>
      </c>
      <c r="G34" s="6" t="s">
        <v>21</v>
      </c>
      <c r="H34" s="7" t="str">
        <f t="shared" si="4"/>
        <v>Completado</v>
      </c>
      <c r="I34" s="8">
        <v>46185.0</v>
      </c>
      <c r="J34" s="9">
        <v>46192.0</v>
      </c>
      <c r="K34" s="8">
        <v>46188.0</v>
      </c>
      <c r="L34" s="13">
        <v>1.0</v>
      </c>
      <c r="M34" s="10"/>
    </row>
    <row r="35" ht="22.5" customHeight="1">
      <c r="A35" s="3" t="str">
        <f t="shared" si="1"/>
        <v>IT-034</v>
      </c>
      <c r="B35" s="4" t="b">
        <v>1</v>
      </c>
      <c r="C35" s="5" t="s">
        <v>75</v>
      </c>
      <c r="D35" s="6" t="s">
        <v>14</v>
      </c>
      <c r="E35" s="6" t="s">
        <v>26</v>
      </c>
      <c r="F35" s="7" t="str">
        <f>IFERROR(__xludf.DUMMYFUNCTION("TEXTJOIN("", "", TRUE, UNIQUE({IF(REGEXMATCH(E35, ""(?i)REYSON FARFAN|HERNAN CALLE""), ""Desarrollo"", """"); IF(REGEXMATCH(E35, ""(?i)GABRIEL ESCARATE|FATIMA VILLAJULCA|WILLIAM FLORES""), ""Automatización"", """"); IF(REGEXMATCH(E35, ""(?i)LEONARDO RIVAS"&amp;"""), ""Infraestructura"", """")}))"),"Automatización")</f>
        <v>Automatización</v>
      </c>
      <c r="G35" s="6" t="s">
        <v>21</v>
      </c>
      <c r="H35" s="7" t="str">
        <f t="shared" si="4"/>
        <v>En Proceso</v>
      </c>
      <c r="I35" s="8">
        <v>46184.0</v>
      </c>
      <c r="J35" s="9">
        <v>46203.0</v>
      </c>
      <c r="K35" s="12"/>
      <c r="L35" s="13">
        <v>0.2</v>
      </c>
      <c r="M35" s="10"/>
    </row>
    <row r="36" ht="22.5" customHeight="1">
      <c r="A36" s="3" t="str">
        <f t="shared" si="1"/>
        <v>IT-035</v>
      </c>
      <c r="B36" s="4" t="b">
        <v>0</v>
      </c>
      <c r="C36" s="5" t="s">
        <v>76</v>
      </c>
      <c r="D36" s="6" t="s">
        <v>70</v>
      </c>
      <c r="E36" s="6" t="s">
        <v>15</v>
      </c>
      <c r="F36" s="7" t="str">
        <f>IFERROR(__xludf.DUMMYFUNCTION("TEXTJOIN("", "", TRUE, UNIQUE({IF(REGEXMATCH(E36, ""(?i)REYSON FARFAN|HERNAN CALLE""), ""Desarrollo"", """"); IF(REGEXMATCH(E36, ""(?i)GABRIEL ESCARATE|FATIMA VILLAJULCA|WILLIAM FLORES""), ""Automatización"", """"); IF(REGEXMATCH(E36, ""(?i)LEONARDO RIVAS"&amp;"""), ""Infraestructura"", """")}))"),"Desarrollo")</f>
        <v>Desarrollo</v>
      </c>
      <c r="G36" s="6" t="s">
        <v>21</v>
      </c>
      <c r="H36" s="7" t="str">
        <f t="shared" si="4"/>
        <v>En Proceso</v>
      </c>
      <c r="I36" s="8">
        <v>46185.0</v>
      </c>
      <c r="J36" s="9">
        <v>46203.0</v>
      </c>
      <c r="K36" s="12"/>
      <c r="L36" s="13">
        <v>0.4</v>
      </c>
      <c r="M36" s="10"/>
    </row>
    <row r="37" ht="22.5" customHeight="1">
      <c r="A37" s="3" t="str">
        <f t="shared" si="1"/>
        <v>IT-036</v>
      </c>
      <c r="B37" s="4" t="b">
        <v>1</v>
      </c>
      <c r="C37" s="5" t="s">
        <v>77</v>
      </c>
      <c r="D37" s="6" t="s">
        <v>30</v>
      </c>
      <c r="E37" s="6" t="s">
        <v>32</v>
      </c>
      <c r="F37" s="7" t="str">
        <f>IFERROR(__xludf.DUMMYFUNCTION("TEXTJOIN("", "", TRUE, UNIQUE({IF(REGEXMATCH(E37, ""(?i)REYSON FARFAN|HERNAN CALLE""), ""Desarrollo"", """"); IF(REGEXMATCH(E37, ""(?i)GABRIEL ESCARATE|FATIMA VILLAJULCA|WILLIAM FLORES""), ""Automatización"", """"); IF(REGEXMATCH(E37, ""(?i)LEONARDO RIVAS"&amp;"""), ""Infraestructura"", """")}))"),"Infraestructura")</f>
        <v>Infraestructura</v>
      </c>
      <c r="G37" s="6" t="s">
        <v>21</v>
      </c>
      <c r="H37" s="7" t="str">
        <f t="shared" si="4"/>
        <v>En Proceso</v>
      </c>
      <c r="I37" s="8">
        <v>46143.0</v>
      </c>
      <c r="J37" s="9">
        <v>46203.0</v>
      </c>
      <c r="K37" s="12"/>
      <c r="L37" s="13">
        <v>0.5</v>
      </c>
      <c r="M37" s="10"/>
    </row>
    <row r="38" ht="22.5" customHeight="1">
      <c r="A38" s="3" t="str">
        <f t="shared" si="1"/>
        <v>IT-037</v>
      </c>
      <c r="B38" s="4" t="b">
        <v>1</v>
      </c>
      <c r="C38" s="5" t="s">
        <v>78</v>
      </c>
      <c r="D38" s="6" t="s">
        <v>30</v>
      </c>
      <c r="E38" s="6" t="s">
        <v>32</v>
      </c>
      <c r="F38" s="7" t="str">
        <f>IFERROR(__xludf.DUMMYFUNCTION("TEXTJOIN("", "", TRUE, UNIQUE({IF(REGEXMATCH(E38, ""(?i)REYSON FARFAN|HERNAN CALLE""), ""Desarrollo"", """"); IF(REGEXMATCH(E38, ""(?i)GABRIEL ESCARATE|FATIMA VILLAJULCA|WILLIAM FLORES""), ""Automatización"", """"); IF(REGEXMATCH(E38, ""(?i)LEONARDO RIVAS"&amp;"""), ""Infraestructura"", """")}))"),"Infraestructura")</f>
        <v>Infraestructura</v>
      </c>
      <c r="G38" s="6" t="s">
        <v>21</v>
      </c>
      <c r="H38" s="7" t="str">
        <f t="shared" si="4"/>
        <v>En Proceso</v>
      </c>
      <c r="I38" s="8">
        <v>46143.0</v>
      </c>
      <c r="J38" s="9">
        <v>46203.0</v>
      </c>
      <c r="K38" s="12"/>
      <c r="L38" s="13">
        <v>0.9</v>
      </c>
      <c r="M38" s="10"/>
    </row>
    <row r="39" ht="22.5" customHeight="1">
      <c r="A39" s="3" t="str">
        <f t="shared" si="1"/>
        <v>IT-038</v>
      </c>
      <c r="B39" s="4" t="b">
        <v>1</v>
      </c>
      <c r="C39" s="5" t="s">
        <v>79</v>
      </c>
      <c r="D39" s="6" t="s">
        <v>19</v>
      </c>
      <c r="E39" s="6" t="s">
        <v>20</v>
      </c>
      <c r="F39" s="7" t="str">
        <f>IFERROR(__xludf.DUMMYFUNCTION("TEXTJOIN("", "", TRUE, UNIQUE({IF(REGEXMATCH(E39, ""(?i)REYSON FARFAN|HERNAN CALLE""), ""Desarrollo"", """"); IF(REGEXMATCH(E39, ""(?i)GABRIEL ESCARATE|FATIMA VILLAJULCA|WILLIAM FLORES""), ""Automatización"", """"); IF(REGEXMATCH(E39, ""(?i)LEONARDO RIVAS"&amp;"""), ""Infraestructura"", """")}))"),"Automatización")</f>
        <v>Automatización</v>
      </c>
      <c r="G39" s="6" t="s">
        <v>16</v>
      </c>
      <c r="H39" s="7" t="str">
        <f t="shared" si="4"/>
        <v>En Proceso</v>
      </c>
      <c r="I39" s="8">
        <v>46169.0</v>
      </c>
      <c r="J39" s="9">
        <v>46200.0</v>
      </c>
      <c r="K39" s="12"/>
      <c r="L39" s="13">
        <v>0.8</v>
      </c>
      <c r="M39" s="10"/>
    </row>
    <row r="40" ht="22.5" customHeight="1">
      <c r="A40" s="3" t="str">
        <f t="shared" si="1"/>
        <v/>
      </c>
      <c r="B40" s="4" t="b">
        <v>0</v>
      </c>
      <c r="D40" s="7"/>
      <c r="E40" s="7"/>
      <c r="F40" s="7" t="str">
        <f>IFERROR(__xludf.DUMMYFUNCTION("TEXTJOIN("", "", TRUE, UNIQUE({IF(REGEXMATCH(E40, ""(?i)REYSON FARFAN|HERNAN CALLE""), ""Desarrollo"", """"); IF(REGEXMATCH(E40, ""(?i)GABRIEL ESCARATE|FATIMA VILLAJULCA|WILLIAM FLORES""), ""Automatización"", """"); IF(REGEXMATCH(E40, ""(?i)LEONARDO RIVAS"&amp;"""), ""Infraestructura"", """")}))"),"")</f>
        <v/>
      </c>
      <c r="G40" s="7"/>
      <c r="H40" s="7" t="str">
        <f t="shared" si="4"/>
        <v>En Proceso</v>
      </c>
      <c r="I40" s="12"/>
      <c r="J40" s="14"/>
      <c r="K40" s="12"/>
      <c r="L40" s="10"/>
      <c r="M40" s="10"/>
    </row>
    <row r="41" ht="22.5" customHeight="1">
      <c r="A41" s="3" t="str">
        <f t="shared" si="1"/>
        <v/>
      </c>
      <c r="B41" s="4" t="b">
        <v>0</v>
      </c>
      <c r="D41" s="7"/>
      <c r="E41" s="7"/>
      <c r="F41" s="7" t="str">
        <f>IFERROR(__xludf.DUMMYFUNCTION("TEXTJOIN("", "", TRUE, UNIQUE({IF(REGEXMATCH(E41, ""(?i)REYSON FARFAN|HERNAN CALLE""), ""Desarrollo"", """"); IF(REGEXMATCH(E41, ""(?i)GABRIEL ESCARATE|FATIMA VILLAJULCA|WILLIAM FLORES""), ""Automatización"", """"); IF(REGEXMATCH(E41, ""(?i)LEONARDO RIVAS"&amp;"""), ""Infraestructura"", """")}))"),"")</f>
        <v/>
      </c>
      <c r="G41" s="7"/>
      <c r="H41" s="7" t="str">
        <f t="shared" si="4"/>
        <v>En Proceso</v>
      </c>
      <c r="I41" s="12"/>
      <c r="J41" s="14"/>
      <c r="K41" s="12"/>
      <c r="L41" s="10"/>
      <c r="M41" s="10"/>
    </row>
    <row r="42" ht="22.5" customHeight="1">
      <c r="A42" s="3" t="str">
        <f t="shared" si="1"/>
        <v/>
      </c>
      <c r="B42" s="4" t="b">
        <v>0</v>
      </c>
      <c r="D42" s="7"/>
      <c r="E42" s="7"/>
      <c r="F42" s="7" t="str">
        <f>IFERROR(__xludf.DUMMYFUNCTION("TEXTJOIN("", "", TRUE, UNIQUE({IF(REGEXMATCH(E42, ""(?i)REYSON FARFAN|HERNAN CALLE""), ""Desarrollo"", """"); IF(REGEXMATCH(E42, ""(?i)GABRIEL ESCARATE|FATIMA VILLAJULCA|WILLIAM FLORES""), ""Automatización"", """"); IF(REGEXMATCH(E42, ""(?i)LEONARDO RIVAS"&amp;"""), ""Infraestructura"", """")}))"),"")</f>
        <v/>
      </c>
      <c r="G42" s="7"/>
      <c r="H42" s="7" t="str">
        <f t="shared" si="4"/>
        <v>En Proceso</v>
      </c>
      <c r="I42" s="12"/>
      <c r="J42" s="14"/>
      <c r="K42" s="12"/>
      <c r="L42" s="10"/>
      <c r="M42" s="10"/>
    </row>
    <row r="43" ht="22.5" customHeight="1">
      <c r="A43" s="3" t="str">
        <f t="shared" si="1"/>
        <v/>
      </c>
      <c r="B43" s="4" t="b">
        <v>0</v>
      </c>
      <c r="D43" s="7"/>
      <c r="E43" s="7"/>
      <c r="F43" s="7" t="str">
        <f>IFERROR(__xludf.DUMMYFUNCTION("TEXTJOIN("", "", TRUE, UNIQUE({IF(REGEXMATCH(E43, ""(?i)REYSON FARFAN|HERNAN CALLE""), ""Desarrollo"", """"); IF(REGEXMATCH(E43, ""(?i)GABRIEL ESCARATE|FATIMA VILLAJULCA|WILLIAM FLORES""), ""Automatización"", """"); IF(REGEXMATCH(E43, ""(?i)LEONARDO RIVAS"&amp;"""), ""Infraestructura"", """")}))"),"")</f>
        <v/>
      </c>
      <c r="G43" s="7"/>
      <c r="H43" s="7" t="str">
        <f t="shared" si="4"/>
        <v>En Proceso</v>
      </c>
      <c r="I43" s="12"/>
      <c r="J43" s="14"/>
      <c r="K43" s="12"/>
      <c r="L43" s="10"/>
      <c r="M43" s="10"/>
    </row>
    <row r="44" ht="22.5" customHeight="1">
      <c r="A44" s="3" t="str">
        <f t="shared" si="1"/>
        <v/>
      </c>
      <c r="B44" s="4" t="b">
        <v>0</v>
      </c>
      <c r="D44" s="7"/>
      <c r="E44" s="7"/>
      <c r="F44" s="7" t="str">
        <f>IFERROR(__xludf.DUMMYFUNCTION("TEXTJOIN("", "", TRUE, UNIQUE({IF(REGEXMATCH(E44, ""(?i)REYSON FARFAN|HERNAN CALLE""), ""Desarrollo"", """"); IF(REGEXMATCH(E44, ""(?i)GABRIEL ESCARATE|FATIMA VILLAJULCA|WILLIAM FLORES""), ""Automatización"", """"); IF(REGEXMATCH(E44, ""(?i)LEONARDO RIVAS"&amp;"""), ""Infraestructura"", """")}))"),"")</f>
        <v/>
      </c>
      <c r="G44" s="7"/>
      <c r="H44" s="7" t="str">
        <f t="shared" si="4"/>
        <v>En Proceso</v>
      </c>
      <c r="I44" s="12"/>
      <c r="J44" s="14"/>
      <c r="K44" s="12"/>
      <c r="L44" s="10"/>
      <c r="M44" s="10"/>
    </row>
    <row r="45" ht="22.5" customHeight="1">
      <c r="A45" s="3" t="str">
        <f t="shared" si="1"/>
        <v/>
      </c>
      <c r="B45" s="4" t="b">
        <v>0</v>
      </c>
      <c r="D45" s="7"/>
      <c r="E45" s="7"/>
      <c r="F45" s="7" t="str">
        <f>IFERROR(__xludf.DUMMYFUNCTION("TEXTJOIN("", "", TRUE, UNIQUE({IF(REGEXMATCH(E45, ""(?i)REYSON FARFAN|HERNAN CALLE""), ""Desarrollo"", """"); IF(REGEXMATCH(E45, ""(?i)GABRIEL ESCARATE|FATIMA VILLAJULCA|WILLIAM FLORES""), ""Automatización"", """"); IF(REGEXMATCH(E45, ""(?i)LEONARDO RIVAS"&amp;"""), ""Infraestructura"", """")}))"),"")</f>
        <v/>
      </c>
      <c r="G45" s="7"/>
      <c r="H45" s="7" t="str">
        <f t="shared" si="4"/>
        <v>En Proceso</v>
      </c>
      <c r="I45" s="12"/>
      <c r="J45" s="14"/>
      <c r="K45" s="12"/>
      <c r="L45" s="10"/>
      <c r="M45" s="10"/>
    </row>
    <row r="46" ht="22.5" customHeight="1">
      <c r="A46" s="3" t="str">
        <f t="shared" si="1"/>
        <v/>
      </c>
      <c r="B46" s="4" t="b">
        <v>0</v>
      </c>
      <c r="D46" s="7"/>
      <c r="E46" s="7"/>
      <c r="F46" s="7" t="str">
        <f>IFERROR(__xludf.DUMMYFUNCTION("TEXTJOIN("", "", TRUE, UNIQUE({IF(REGEXMATCH(E46, ""(?i)REYSON FARFAN|HERNAN CALLE""), ""Desarrollo"", """"); IF(REGEXMATCH(E46, ""(?i)GABRIEL ESCARATE|FATIMA VILLAJULCA|WILLIAM FLORES""), ""Automatización"", """"); IF(REGEXMATCH(E46, ""(?i)LEONARDO RIVAS"&amp;"""), ""Infraestructura"", """")}))"),"")</f>
        <v/>
      </c>
      <c r="G46" s="7"/>
      <c r="H46" s="7" t="str">
        <f t="shared" si="4"/>
        <v>En Proceso</v>
      </c>
      <c r="I46" s="12"/>
      <c r="J46" s="14"/>
      <c r="K46" s="12"/>
      <c r="L46" s="10"/>
      <c r="M46" s="10"/>
    </row>
    <row r="47" ht="22.5" customHeight="1">
      <c r="A47" s="3" t="str">
        <f t="shared" si="1"/>
        <v/>
      </c>
      <c r="B47" s="4" t="b">
        <v>0</v>
      </c>
      <c r="D47" s="7"/>
      <c r="E47" s="7"/>
      <c r="F47" s="7" t="str">
        <f>IFERROR(__xludf.DUMMYFUNCTION("TEXTJOIN("", "", TRUE, UNIQUE({IF(REGEXMATCH(E47, ""(?i)REYSON FARFAN|HERNAN CALLE""), ""Desarrollo"", """"); IF(REGEXMATCH(E47, ""(?i)GABRIEL ESCARATE|FATIMA VILLAJULCA|WILLIAM FLORES""), ""Automatización"", """"); IF(REGEXMATCH(E47, ""(?i)LEONARDO RIVAS"&amp;"""), ""Infraestructura"", """")}))"),"")</f>
        <v/>
      </c>
      <c r="G47" s="7"/>
      <c r="H47" s="7" t="str">
        <f t="shared" si="4"/>
        <v>En Proceso</v>
      </c>
      <c r="I47" s="12"/>
      <c r="J47" s="14"/>
      <c r="K47" s="12"/>
      <c r="L47" s="10"/>
      <c r="M47" s="10"/>
    </row>
    <row r="48" ht="22.5" customHeight="1">
      <c r="A48" s="3" t="str">
        <f t="shared" si="1"/>
        <v/>
      </c>
      <c r="B48" s="4" t="b">
        <v>0</v>
      </c>
      <c r="D48" s="7"/>
      <c r="E48" s="7"/>
      <c r="F48" s="7" t="str">
        <f>IFERROR(__xludf.DUMMYFUNCTION("TEXTJOIN("", "", TRUE, UNIQUE({IF(REGEXMATCH(E48, ""(?i)REYSON FARFAN|HERNAN CALLE""), ""Desarrollo"", """"); IF(REGEXMATCH(E48, ""(?i)GABRIEL ESCARATE|FATIMA VILLAJULCA|WILLIAM FLORES""), ""Automatización"", """"); IF(REGEXMATCH(E48, ""(?i)LEONARDO RIVAS"&amp;"""), ""Infraestructura"", """")}))"),"")</f>
        <v/>
      </c>
      <c r="G48" s="7"/>
      <c r="H48" s="7" t="str">
        <f t="shared" si="4"/>
        <v>En Proceso</v>
      </c>
      <c r="I48" s="12"/>
      <c r="J48" s="14"/>
      <c r="K48" s="12"/>
      <c r="L48" s="10"/>
      <c r="M48" s="10"/>
    </row>
    <row r="49" ht="22.5" customHeight="1">
      <c r="A49" s="3" t="str">
        <f t="shared" si="1"/>
        <v/>
      </c>
      <c r="B49" s="4" t="b">
        <v>0</v>
      </c>
      <c r="D49" s="7"/>
      <c r="E49" s="7"/>
      <c r="F49" s="7" t="str">
        <f>IFERROR(__xludf.DUMMYFUNCTION("TEXTJOIN("", "", TRUE, UNIQUE({IF(REGEXMATCH(E49, ""(?i)REYSON FARFAN|HERNAN CALLE""), ""Desarrollo"", """"); IF(REGEXMATCH(E49, ""(?i)GABRIEL ESCARATE|FATIMA VILLAJULCA|WILLIAM FLORES""), ""Automatización"", """"); IF(REGEXMATCH(E49, ""(?i)LEONARDO RIVAS"&amp;"""), ""Infraestructura"", """")}))"),"")</f>
        <v/>
      </c>
      <c r="G49" s="7"/>
      <c r="H49" s="7" t="str">
        <f t="shared" si="4"/>
        <v>En Proceso</v>
      </c>
      <c r="I49" s="12"/>
      <c r="J49" s="14"/>
      <c r="K49" s="12"/>
      <c r="L49" s="10"/>
      <c r="M49" s="10"/>
    </row>
    <row r="50" ht="22.5" customHeight="1">
      <c r="A50" s="3" t="str">
        <f t="shared" si="1"/>
        <v/>
      </c>
      <c r="B50" s="4" t="b">
        <v>0</v>
      </c>
      <c r="D50" s="7"/>
      <c r="E50" s="7"/>
      <c r="F50" s="7" t="str">
        <f>IFERROR(__xludf.DUMMYFUNCTION("TEXTJOIN("", "", TRUE, UNIQUE({IF(REGEXMATCH(E50, ""(?i)REYSON FARFAN|HERNAN CALLE""), ""Desarrollo"", """"); IF(REGEXMATCH(E50, ""(?i)GABRIEL ESCARATE|FATIMA VILLAJULCA|WILLIAM FLORES""), ""Automatización"", """"); IF(REGEXMATCH(E50, ""(?i)LEONARDO RIVAS"&amp;"""), ""Infraestructura"", """")}))"),"")</f>
        <v/>
      </c>
      <c r="G50" s="7"/>
      <c r="H50" s="7" t="str">
        <f t="shared" si="4"/>
        <v>En Proceso</v>
      </c>
      <c r="I50" s="12"/>
      <c r="J50" s="14"/>
      <c r="K50" s="12"/>
      <c r="L50" s="10"/>
      <c r="M50" s="10"/>
    </row>
    <row r="51" ht="22.5" customHeight="1">
      <c r="A51" s="3" t="str">
        <f t="shared" si="1"/>
        <v/>
      </c>
      <c r="B51" s="4" t="b">
        <v>0</v>
      </c>
      <c r="D51" s="7"/>
      <c r="E51" s="7"/>
      <c r="F51" s="7" t="str">
        <f>IFERROR(__xludf.DUMMYFUNCTION("TEXTJOIN("", "", TRUE, UNIQUE({IF(REGEXMATCH(E51, ""(?i)REYSON FARFAN|HERNAN CALLE""), ""Desarrollo"", """"); IF(REGEXMATCH(E51, ""(?i)GABRIEL ESCARATE|FATIMA VILLAJULCA|WILLIAM FLORES""), ""Automatización"", """"); IF(REGEXMATCH(E51, ""(?i)LEONARDO RIVAS"&amp;"""), ""Infraestructura"", """")}))"),"")</f>
        <v/>
      </c>
      <c r="G51" s="7"/>
      <c r="H51" s="7" t="str">
        <f t="shared" si="4"/>
        <v>En Proceso</v>
      </c>
      <c r="I51" s="12"/>
      <c r="J51" s="14"/>
      <c r="K51" s="12"/>
      <c r="L51" s="10"/>
      <c r="M51" s="10"/>
    </row>
    <row r="52" ht="22.5" customHeight="1">
      <c r="A52" s="3" t="str">
        <f t="shared" si="1"/>
        <v/>
      </c>
      <c r="B52" s="4" t="b">
        <v>0</v>
      </c>
      <c r="D52" s="7"/>
      <c r="E52" s="7"/>
      <c r="F52" s="7" t="str">
        <f>IFERROR(__xludf.DUMMYFUNCTION("TEXTJOIN("", "", TRUE, UNIQUE({IF(REGEXMATCH(E52, ""(?i)REYSON FARFAN|HERNAN CALLE""), ""Desarrollo"", """"); IF(REGEXMATCH(E52, ""(?i)GABRIEL ESCARATE|FATIMA VILLAJULCA|WILLIAM FLORES""), ""Automatización"", """"); IF(REGEXMATCH(E52, ""(?i)LEONARDO RIVAS"&amp;"""), ""Infraestructura"", """")}))"),"")</f>
        <v/>
      </c>
      <c r="G52" s="7"/>
      <c r="H52" s="7" t="str">
        <f t="shared" si="4"/>
        <v>En Proceso</v>
      </c>
      <c r="I52" s="12"/>
      <c r="J52" s="14"/>
      <c r="K52" s="12"/>
      <c r="L52" s="10"/>
      <c r="M52" s="10"/>
    </row>
    <row r="53" ht="22.5" customHeight="1">
      <c r="A53" s="3" t="str">
        <f t="shared" si="1"/>
        <v/>
      </c>
      <c r="B53" s="4" t="b">
        <v>0</v>
      </c>
      <c r="D53" s="7"/>
      <c r="E53" s="7"/>
      <c r="F53" s="7" t="str">
        <f>IFERROR(__xludf.DUMMYFUNCTION("TEXTJOIN("", "", TRUE, UNIQUE({IF(REGEXMATCH(E53, ""(?i)REYSON FARFAN|HERNAN CALLE""), ""Desarrollo"", """"); IF(REGEXMATCH(E53, ""(?i)GABRIEL ESCARATE|FATIMA VILLAJULCA|WILLIAM FLORES""), ""Automatización"", """"); IF(REGEXMATCH(E53, ""(?i)LEONARDO RIVAS"&amp;"""), ""Infraestructura"", """")}))"),"")</f>
        <v/>
      </c>
      <c r="G53" s="7"/>
      <c r="H53" s="7" t="str">
        <f t="shared" si="4"/>
        <v>En Proceso</v>
      </c>
      <c r="I53" s="12"/>
      <c r="J53" s="14"/>
      <c r="K53" s="12"/>
      <c r="L53" s="10"/>
      <c r="M53" s="10"/>
    </row>
    <row r="54" ht="22.5" customHeight="1">
      <c r="A54" s="3" t="str">
        <f t="shared" si="1"/>
        <v/>
      </c>
      <c r="B54" s="4" t="b">
        <v>0</v>
      </c>
      <c r="D54" s="7"/>
      <c r="E54" s="7"/>
      <c r="F54" s="7" t="str">
        <f>IFERROR(__xludf.DUMMYFUNCTION("TEXTJOIN("", "", TRUE, UNIQUE({IF(REGEXMATCH(E54, ""(?i)REYSON FARFAN|HERNAN CALLE""), ""Desarrollo"", """"); IF(REGEXMATCH(E54, ""(?i)GABRIEL ESCARATE|FATIMA VILLAJULCA|WILLIAM FLORES""), ""Automatización"", """"); IF(REGEXMATCH(E54, ""(?i)LEONARDO RIVAS"&amp;"""), ""Infraestructura"", """")}))"),"")</f>
        <v/>
      </c>
      <c r="G54" s="7"/>
      <c r="H54" s="7" t="str">
        <f t="shared" si="4"/>
        <v>En Proceso</v>
      </c>
      <c r="I54" s="12"/>
      <c r="J54" s="14"/>
      <c r="K54" s="12"/>
      <c r="L54" s="10"/>
      <c r="M54" s="10"/>
    </row>
    <row r="55" ht="22.5" customHeight="1">
      <c r="A55" s="3" t="str">
        <f t="shared" si="1"/>
        <v/>
      </c>
      <c r="B55" s="4" t="b">
        <v>0</v>
      </c>
      <c r="D55" s="7"/>
      <c r="E55" s="7"/>
      <c r="F55" s="7" t="str">
        <f>IFERROR(__xludf.DUMMYFUNCTION("TEXTJOIN("", "", TRUE, UNIQUE({IF(REGEXMATCH(E55, ""(?i)REYSON FARFAN|HERNAN CALLE""), ""Desarrollo"", """"); IF(REGEXMATCH(E55, ""(?i)GABRIEL ESCARATE|FATIMA VILLAJULCA|WILLIAM FLORES""), ""Automatización"", """"); IF(REGEXMATCH(E55, ""(?i)LEONARDO RIVAS"&amp;"""), ""Infraestructura"", """")}))"),"")</f>
        <v/>
      </c>
      <c r="G55" s="7"/>
      <c r="H55" s="7" t="str">
        <f t="shared" si="4"/>
        <v>En Proceso</v>
      </c>
      <c r="I55" s="12"/>
      <c r="J55" s="14"/>
      <c r="K55" s="12"/>
      <c r="L55" s="10"/>
      <c r="M55" s="10"/>
    </row>
    <row r="56" ht="22.5" customHeight="1">
      <c r="A56" s="3" t="str">
        <f t="shared" si="1"/>
        <v/>
      </c>
      <c r="B56" s="4" t="b">
        <v>0</v>
      </c>
      <c r="D56" s="7"/>
      <c r="E56" s="7"/>
      <c r="F56" s="7" t="str">
        <f>IFERROR(__xludf.DUMMYFUNCTION("TEXTJOIN("", "", TRUE, UNIQUE({IF(REGEXMATCH(E56, ""(?i)REYSON FARFAN|HERNAN CALLE""), ""Desarrollo"", """"); IF(REGEXMATCH(E56, ""(?i)GABRIEL ESCARATE|FATIMA VILLAJULCA|WILLIAM FLORES""), ""Automatización"", """"); IF(REGEXMATCH(E56, ""(?i)LEONARDO RIVAS"&amp;"""), ""Infraestructura"", """")}))"),"")</f>
        <v/>
      </c>
      <c r="G56" s="7"/>
      <c r="H56" s="7" t="str">
        <f t="shared" si="4"/>
        <v>En Proceso</v>
      </c>
      <c r="I56" s="12"/>
      <c r="J56" s="14"/>
      <c r="K56" s="12"/>
      <c r="L56" s="10"/>
      <c r="M56" s="10"/>
    </row>
    <row r="57" ht="22.5" customHeight="1">
      <c r="A57" s="3" t="str">
        <f t="shared" si="1"/>
        <v/>
      </c>
      <c r="B57" s="4" t="b">
        <v>0</v>
      </c>
      <c r="D57" s="7"/>
      <c r="E57" s="7"/>
      <c r="F57" s="7" t="str">
        <f>IFERROR(__xludf.DUMMYFUNCTION("TEXTJOIN("", "", TRUE, UNIQUE({IF(REGEXMATCH(E57, ""(?i)REYSON FARFAN|HERNAN CALLE""), ""Desarrollo"", """"); IF(REGEXMATCH(E57, ""(?i)GABRIEL ESCARATE|FATIMA VILLAJULCA|WILLIAM FLORES""), ""Automatización"", """"); IF(REGEXMATCH(E57, ""(?i)LEONARDO RIVAS"&amp;"""), ""Infraestructura"", """")}))"),"")</f>
        <v/>
      </c>
      <c r="G57" s="7"/>
      <c r="H57" s="7" t="str">
        <f t="shared" si="4"/>
        <v>En Proceso</v>
      </c>
      <c r="I57" s="12"/>
      <c r="J57" s="14"/>
      <c r="K57" s="12"/>
      <c r="L57" s="10"/>
      <c r="M57" s="10"/>
    </row>
    <row r="58" ht="22.5" customHeight="1">
      <c r="A58" s="3" t="str">
        <f t="shared" si="1"/>
        <v/>
      </c>
      <c r="B58" s="4" t="b">
        <v>0</v>
      </c>
      <c r="D58" s="7"/>
      <c r="E58" s="7"/>
      <c r="F58" s="7" t="str">
        <f>IFERROR(__xludf.DUMMYFUNCTION("TEXTJOIN("", "", TRUE, UNIQUE({IF(REGEXMATCH(E58, ""(?i)REYSON FARFAN|HERNAN CALLE""), ""Desarrollo"", """"); IF(REGEXMATCH(E58, ""(?i)GABRIEL ESCARATE|FATIMA VILLAJULCA|WILLIAM FLORES""), ""Automatización"", """"); IF(REGEXMATCH(E58, ""(?i)LEONARDO RIVAS"&amp;"""), ""Infraestructura"", """")}))"),"")</f>
        <v/>
      </c>
      <c r="G58" s="7"/>
      <c r="H58" s="7" t="str">
        <f t="shared" si="4"/>
        <v>En Proceso</v>
      </c>
      <c r="I58" s="12"/>
      <c r="J58" s="14"/>
      <c r="K58" s="12"/>
      <c r="L58" s="10"/>
      <c r="M58" s="10"/>
    </row>
    <row r="59" ht="22.5" customHeight="1">
      <c r="A59" s="3" t="str">
        <f t="shared" si="1"/>
        <v/>
      </c>
      <c r="B59" s="4" t="b">
        <v>0</v>
      </c>
      <c r="D59" s="7"/>
      <c r="E59" s="7"/>
      <c r="F59" s="7" t="str">
        <f>IFERROR(__xludf.DUMMYFUNCTION("TEXTJOIN("", "", TRUE, UNIQUE({IF(REGEXMATCH(E59, ""(?i)REYSON FARFAN|HERNAN CALLE""), ""Desarrollo"", """"); IF(REGEXMATCH(E59, ""(?i)GABRIEL ESCARATE|FATIMA VILLAJULCA|WILLIAM FLORES""), ""Automatización"", """"); IF(REGEXMATCH(E59, ""(?i)LEONARDO RIVAS"&amp;"""), ""Infraestructura"", """")}))"),"")</f>
        <v/>
      </c>
      <c r="G59" s="7"/>
      <c r="H59" s="7" t="str">
        <f t="shared" si="4"/>
        <v>En Proceso</v>
      </c>
      <c r="I59" s="12"/>
      <c r="J59" s="14"/>
      <c r="K59" s="12"/>
      <c r="L59" s="10"/>
      <c r="M59" s="10"/>
    </row>
    <row r="60" ht="22.5" customHeight="1">
      <c r="A60" s="3" t="str">
        <f t="shared" si="1"/>
        <v/>
      </c>
      <c r="B60" s="4" t="b">
        <v>0</v>
      </c>
      <c r="D60" s="7"/>
      <c r="E60" s="7"/>
      <c r="F60" s="7" t="str">
        <f>IFERROR(__xludf.DUMMYFUNCTION("TEXTJOIN("", "", TRUE, UNIQUE({IF(REGEXMATCH(E60, ""(?i)REYSON FARFAN|HERNAN CALLE""), ""Desarrollo"", """"); IF(REGEXMATCH(E60, ""(?i)GABRIEL ESCARATE|FATIMA VILLAJULCA|WILLIAM FLORES""), ""Automatización"", """"); IF(REGEXMATCH(E60, ""(?i)LEONARDO RIVAS"&amp;"""), ""Infraestructura"", """")}))"),"")</f>
        <v/>
      </c>
      <c r="G60" s="7"/>
      <c r="H60" s="7" t="str">
        <f t="shared" si="4"/>
        <v>En Proceso</v>
      </c>
      <c r="I60" s="12"/>
      <c r="J60" s="14"/>
      <c r="K60" s="12"/>
      <c r="L60" s="10"/>
      <c r="M60" s="10"/>
    </row>
    <row r="61" ht="22.5" customHeight="1">
      <c r="A61" s="3" t="str">
        <f t="shared" si="1"/>
        <v/>
      </c>
      <c r="B61" s="4" t="b">
        <v>0</v>
      </c>
      <c r="D61" s="7"/>
      <c r="E61" s="7"/>
      <c r="F61" s="7" t="str">
        <f>IFERROR(__xludf.DUMMYFUNCTION("TEXTJOIN("", "", TRUE, UNIQUE({IF(REGEXMATCH(E61, ""(?i)REYSON FARFAN|HERNAN CALLE""), ""Desarrollo"", """"); IF(REGEXMATCH(E61, ""(?i)GABRIEL ESCARATE|FATIMA VILLAJULCA|WILLIAM FLORES""), ""Automatización"", """"); IF(REGEXMATCH(E61, ""(?i)LEONARDO RIVAS"&amp;"""), ""Infraestructura"", """")}))"),"")</f>
        <v/>
      </c>
      <c r="G61" s="7"/>
      <c r="H61" s="7" t="str">
        <f t="shared" si="4"/>
        <v>En Proceso</v>
      </c>
      <c r="I61" s="12"/>
      <c r="J61" s="14"/>
      <c r="K61" s="12"/>
      <c r="L61" s="10"/>
      <c r="M61" s="10"/>
    </row>
    <row r="62" ht="22.5" customHeight="1">
      <c r="A62" s="3" t="str">
        <f t="shared" si="1"/>
        <v/>
      </c>
      <c r="B62" s="4" t="b">
        <v>0</v>
      </c>
      <c r="D62" s="7"/>
      <c r="E62" s="7"/>
      <c r="F62" s="7" t="str">
        <f>IFERROR(__xludf.DUMMYFUNCTION("TEXTJOIN("", "", TRUE, UNIQUE({IF(REGEXMATCH(E62, ""(?i)REYSON FARFAN|HERNAN CALLE""), ""Desarrollo"", """"); IF(REGEXMATCH(E62, ""(?i)GABRIEL ESCARATE|FATIMA VILLAJULCA|WILLIAM FLORES""), ""Automatización"", """"); IF(REGEXMATCH(E62, ""(?i)LEONARDO RIVAS"&amp;"""), ""Infraestructura"", """")}))"),"")</f>
        <v/>
      </c>
      <c r="G62" s="7"/>
      <c r="H62" s="7" t="str">
        <f t="shared" si="4"/>
        <v>En Proceso</v>
      </c>
      <c r="I62" s="12"/>
      <c r="J62" s="14"/>
      <c r="K62" s="12"/>
      <c r="L62" s="10"/>
      <c r="M62" s="10"/>
    </row>
    <row r="63" ht="22.5" customHeight="1">
      <c r="A63" s="3" t="str">
        <f t="shared" si="1"/>
        <v/>
      </c>
      <c r="B63" s="4" t="b">
        <v>0</v>
      </c>
      <c r="D63" s="7"/>
      <c r="E63" s="7"/>
      <c r="F63" s="7" t="str">
        <f>IFERROR(__xludf.DUMMYFUNCTION("TEXTJOIN("", "", TRUE, UNIQUE({IF(REGEXMATCH(E63, ""(?i)REYSON FARFAN|HERNAN CALLE""), ""Desarrollo"", """"); IF(REGEXMATCH(E63, ""(?i)GABRIEL ESCARATE|FATIMA VILLAJULCA|WILLIAM FLORES""), ""Automatización"", """"); IF(REGEXMATCH(E63, ""(?i)LEONARDO RIVAS"&amp;"""), ""Infraestructura"", """")}))"),"")</f>
        <v/>
      </c>
      <c r="G63" s="7"/>
      <c r="H63" s="7" t="str">
        <f t="shared" si="4"/>
        <v>En Proceso</v>
      </c>
      <c r="I63" s="12"/>
      <c r="J63" s="14"/>
      <c r="K63" s="12"/>
      <c r="L63" s="10"/>
      <c r="M63" s="10"/>
    </row>
    <row r="64" ht="22.5" customHeight="1">
      <c r="A64" s="3" t="str">
        <f t="shared" si="1"/>
        <v/>
      </c>
      <c r="B64" s="4" t="b">
        <v>0</v>
      </c>
      <c r="D64" s="7"/>
      <c r="E64" s="7"/>
      <c r="F64" s="7" t="str">
        <f>IFERROR(__xludf.DUMMYFUNCTION("TEXTJOIN("", "", TRUE, UNIQUE({IF(REGEXMATCH(E64, ""(?i)REYSON FARFAN|HERNAN CALLE""), ""Desarrollo"", """"); IF(REGEXMATCH(E64, ""(?i)GABRIEL ESCARATE|FATIMA VILLAJULCA|WILLIAM FLORES""), ""Automatización"", """"); IF(REGEXMATCH(E64, ""(?i)LEONARDO RIVAS"&amp;"""), ""Infraestructura"", """")}))"),"")</f>
        <v/>
      </c>
      <c r="G64" s="7"/>
      <c r="H64" s="7" t="str">
        <f t="shared" si="4"/>
        <v>En Proceso</v>
      </c>
      <c r="I64" s="12"/>
      <c r="J64" s="14"/>
      <c r="K64" s="12"/>
      <c r="L64" s="10"/>
      <c r="M64" s="10"/>
    </row>
    <row r="65" ht="22.5" customHeight="1">
      <c r="A65" s="3" t="str">
        <f t="shared" si="1"/>
        <v/>
      </c>
      <c r="B65" s="4" t="b">
        <v>0</v>
      </c>
      <c r="D65" s="7"/>
      <c r="E65" s="7"/>
      <c r="F65" s="7" t="str">
        <f>IFERROR(__xludf.DUMMYFUNCTION("TEXTJOIN("", "", TRUE, UNIQUE({IF(REGEXMATCH(E65, ""(?i)REYSON FARFAN|HERNAN CALLE""), ""Desarrollo"", """"); IF(REGEXMATCH(E65, ""(?i)GABRIEL ESCARATE|FATIMA VILLAJULCA|WILLIAM FLORES""), ""Automatización"", """"); IF(REGEXMATCH(E65, ""(?i)LEONARDO RIVAS"&amp;"""), ""Infraestructura"", """")}))"),"")</f>
        <v/>
      </c>
      <c r="G65" s="7"/>
      <c r="H65" s="7" t="str">
        <f t="shared" si="4"/>
        <v>En Proceso</v>
      </c>
      <c r="I65" s="12"/>
      <c r="J65" s="14"/>
      <c r="K65" s="12"/>
      <c r="L65" s="10"/>
      <c r="M65" s="10"/>
    </row>
    <row r="66" ht="22.5" customHeight="1">
      <c r="A66" s="3" t="str">
        <f t="shared" si="1"/>
        <v/>
      </c>
      <c r="B66" s="4" t="b">
        <v>0</v>
      </c>
      <c r="D66" s="7"/>
      <c r="E66" s="7"/>
      <c r="F66" s="7" t="str">
        <f>IFERROR(__xludf.DUMMYFUNCTION("TEXTJOIN("", "", TRUE, UNIQUE({IF(REGEXMATCH(E66, ""(?i)REYSON FARFAN|HERNAN CALLE""), ""Desarrollo"", """"); IF(REGEXMATCH(E66, ""(?i)GABRIEL ESCARATE|FATIMA VILLAJULCA|WILLIAM FLORES""), ""Automatización"", """"); IF(REGEXMATCH(E66, ""(?i)LEONARDO RIVAS"&amp;"""), ""Infraestructura"", """")}))"),"")</f>
        <v/>
      </c>
      <c r="G66" s="7"/>
      <c r="H66" s="7" t="str">
        <f t="shared" si="4"/>
        <v>En Proceso</v>
      </c>
      <c r="I66" s="12"/>
      <c r="J66" s="14"/>
      <c r="K66" s="12"/>
      <c r="L66" s="10"/>
      <c r="M66" s="10"/>
    </row>
    <row r="67" ht="22.5" customHeight="1">
      <c r="A67" s="3" t="str">
        <f t="shared" si="1"/>
        <v/>
      </c>
      <c r="B67" s="4" t="b">
        <v>0</v>
      </c>
      <c r="D67" s="7"/>
      <c r="E67" s="7"/>
      <c r="F67" s="7" t="str">
        <f>IFERROR(__xludf.DUMMYFUNCTION("TEXTJOIN("", "", TRUE, UNIQUE({IF(REGEXMATCH(E67, ""(?i)REYSON FARFAN|HERNAN CALLE""), ""Desarrollo"", """"); IF(REGEXMATCH(E67, ""(?i)GABRIEL ESCARATE|FATIMA VILLAJULCA|WILLIAM FLORES""), ""Automatización"", """"); IF(REGEXMATCH(E67, ""(?i)LEONARDO RIVAS"&amp;"""), ""Infraestructura"", """")}))"),"")</f>
        <v/>
      </c>
      <c r="G67" s="7"/>
      <c r="H67" s="7" t="str">
        <f t="shared" si="4"/>
        <v>En Proceso</v>
      </c>
      <c r="I67" s="12"/>
      <c r="J67" s="14"/>
      <c r="K67" s="12"/>
      <c r="L67" s="10"/>
      <c r="M67" s="10"/>
    </row>
    <row r="68" ht="22.5" customHeight="1">
      <c r="A68" s="3" t="str">
        <f t="shared" si="1"/>
        <v/>
      </c>
      <c r="B68" s="4" t="b">
        <v>0</v>
      </c>
      <c r="D68" s="7"/>
      <c r="E68" s="7"/>
      <c r="F68" s="7" t="str">
        <f>IFERROR(__xludf.DUMMYFUNCTION("TEXTJOIN("", "", TRUE, UNIQUE({IF(REGEXMATCH(E68, ""(?i)REYSON FARFAN|HERNAN CALLE""), ""Desarrollo"", """"); IF(REGEXMATCH(E68, ""(?i)GABRIEL ESCARATE|FATIMA VILLAJULCA|WILLIAM FLORES""), ""Automatización"", """"); IF(REGEXMATCH(E68, ""(?i)LEONARDO RIVAS"&amp;"""), ""Infraestructura"", """")}))"),"")</f>
        <v/>
      </c>
      <c r="G68" s="7"/>
      <c r="H68" s="7" t="str">
        <f t="shared" si="4"/>
        <v>En Proceso</v>
      </c>
      <c r="I68" s="12"/>
      <c r="J68" s="14"/>
      <c r="K68" s="12"/>
      <c r="L68" s="10"/>
      <c r="M68" s="10"/>
    </row>
    <row r="69" ht="22.5" customHeight="1">
      <c r="A69" s="3" t="str">
        <f t="shared" si="1"/>
        <v/>
      </c>
      <c r="B69" s="4" t="b">
        <v>0</v>
      </c>
      <c r="D69" s="7"/>
      <c r="E69" s="7"/>
      <c r="F69" s="7" t="str">
        <f>IFERROR(__xludf.DUMMYFUNCTION("TEXTJOIN("", "", TRUE, UNIQUE({IF(REGEXMATCH(E69, ""(?i)REYSON FARFAN|HERNAN CALLE""), ""Desarrollo"", """"); IF(REGEXMATCH(E69, ""(?i)GABRIEL ESCARATE|FATIMA VILLAJULCA|WILLIAM FLORES""), ""Automatización"", """"); IF(REGEXMATCH(E69, ""(?i)LEONARDO RIVAS"&amp;"""), ""Infraestructura"", """")}))"),"")</f>
        <v/>
      </c>
      <c r="G69" s="7"/>
      <c r="H69" s="7" t="str">
        <f t="shared" si="4"/>
        <v>En Proceso</v>
      </c>
      <c r="I69" s="12"/>
      <c r="J69" s="14"/>
      <c r="K69" s="12"/>
      <c r="L69" s="10"/>
      <c r="M69" s="10"/>
    </row>
    <row r="70" ht="22.5" customHeight="1">
      <c r="A70" s="3" t="str">
        <f t="shared" si="1"/>
        <v/>
      </c>
      <c r="B70" s="4" t="b">
        <v>0</v>
      </c>
      <c r="D70" s="7"/>
      <c r="E70" s="7"/>
      <c r="F70" s="7" t="str">
        <f>IFERROR(__xludf.DUMMYFUNCTION("TEXTJOIN("", "", TRUE, UNIQUE({IF(REGEXMATCH(E70, ""(?i)REYSON FARFAN|HERNAN CALLE""), ""Desarrollo"", """"); IF(REGEXMATCH(E70, ""(?i)GABRIEL ESCARATE|FATIMA VILLAJULCA|WILLIAM FLORES""), ""Automatización"", """"); IF(REGEXMATCH(E70, ""(?i)LEONARDO RIVAS"&amp;"""), ""Infraestructura"", """")}))"),"")</f>
        <v/>
      </c>
      <c r="G70" s="7"/>
      <c r="H70" s="7" t="str">
        <f t="shared" si="4"/>
        <v>En Proceso</v>
      </c>
      <c r="I70" s="12"/>
      <c r="J70" s="14"/>
      <c r="K70" s="12"/>
      <c r="L70" s="10"/>
      <c r="M70" s="10"/>
    </row>
    <row r="71" ht="22.5" customHeight="1">
      <c r="A71" s="3" t="str">
        <f t="shared" si="1"/>
        <v/>
      </c>
      <c r="B71" s="4" t="b">
        <v>0</v>
      </c>
      <c r="D71" s="7"/>
      <c r="E71" s="7"/>
      <c r="F71" s="7" t="str">
        <f>IFERROR(__xludf.DUMMYFUNCTION("TEXTJOIN("", "", TRUE, UNIQUE({IF(REGEXMATCH(E71, ""(?i)REYSON FARFAN|HERNAN CALLE""), ""Desarrollo"", """"); IF(REGEXMATCH(E71, ""(?i)GABRIEL ESCARATE|FATIMA VILLAJULCA|WILLIAM FLORES""), ""Automatización"", """"); IF(REGEXMATCH(E71, ""(?i)LEONARDO RIVAS"&amp;"""), ""Infraestructura"", """")}))"),"")</f>
        <v/>
      </c>
      <c r="G71" s="7"/>
      <c r="H71" s="7" t="str">
        <f t="shared" si="4"/>
        <v>En Proceso</v>
      </c>
      <c r="I71" s="12"/>
      <c r="J71" s="14"/>
      <c r="K71" s="12"/>
      <c r="L71" s="10"/>
      <c r="M71" s="10"/>
    </row>
    <row r="72" ht="22.5" customHeight="1">
      <c r="A72" s="3" t="str">
        <f t="shared" si="1"/>
        <v/>
      </c>
      <c r="B72" s="4" t="b">
        <v>0</v>
      </c>
      <c r="D72" s="7"/>
      <c r="E72" s="7"/>
      <c r="F72" s="7" t="str">
        <f>IFERROR(__xludf.DUMMYFUNCTION("TEXTJOIN("", "", TRUE, UNIQUE({IF(REGEXMATCH(E72, ""(?i)REYSON FARFAN|HERNAN CALLE""), ""Desarrollo"", """"); IF(REGEXMATCH(E72, ""(?i)GABRIEL ESCARATE|FATIMA VILLAJULCA|WILLIAM FLORES""), ""Automatización"", """"); IF(REGEXMATCH(E72, ""(?i)LEONARDO RIVAS"&amp;"""), ""Infraestructura"", """")}))"),"")</f>
        <v/>
      </c>
      <c r="G72" s="7"/>
      <c r="H72" s="7" t="str">
        <f t="shared" si="4"/>
        <v>En Proceso</v>
      </c>
      <c r="I72" s="12"/>
      <c r="J72" s="14"/>
      <c r="K72" s="12"/>
      <c r="L72" s="10"/>
      <c r="M72" s="10"/>
    </row>
    <row r="73" ht="22.5" customHeight="1">
      <c r="A73" s="3" t="str">
        <f t="shared" si="1"/>
        <v/>
      </c>
      <c r="B73" s="4" t="b">
        <v>0</v>
      </c>
      <c r="D73" s="7"/>
      <c r="E73" s="7"/>
      <c r="F73" s="7" t="str">
        <f>IFERROR(__xludf.DUMMYFUNCTION("TEXTJOIN("", "", TRUE, UNIQUE({IF(REGEXMATCH(E73, ""(?i)REYSON FARFAN|HERNAN CALLE""), ""Desarrollo"", """"); IF(REGEXMATCH(E73, ""(?i)GABRIEL ESCARATE|FATIMA VILLAJULCA|WILLIAM FLORES""), ""Automatización"", """"); IF(REGEXMATCH(E73, ""(?i)LEONARDO RIVAS"&amp;"""), ""Infraestructura"", """")}))"),"")</f>
        <v/>
      </c>
      <c r="G73" s="7"/>
      <c r="H73" s="7" t="str">
        <f t="shared" si="4"/>
        <v>En Proceso</v>
      </c>
      <c r="I73" s="12"/>
      <c r="J73" s="14"/>
      <c r="K73" s="12"/>
      <c r="L73" s="10"/>
      <c r="M73" s="10"/>
    </row>
    <row r="74" ht="22.5" customHeight="1">
      <c r="A74" s="3" t="str">
        <f t="shared" si="1"/>
        <v/>
      </c>
      <c r="B74" s="4" t="b">
        <v>0</v>
      </c>
      <c r="D74" s="7"/>
      <c r="E74" s="7"/>
      <c r="F74" s="7" t="str">
        <f>IFERROR(__xludf.DUMMYFUNCTION("TEXTJOIN("", "", TRUE, UNIQUE({IF(REGEXMATCH(E74, ""(?i)REYSON FARFAN|HERNAN CALLE""), ""Desarrollo"", """"); IF(REGEXMATCH(E74, ""(?i)GABRIEL ESCARATE|FATIMA VILLAJULCA|WILLIAM FLORES""), ""Automatización"", """"); IF(REGEXMATCH(E74, ""(?i)LEONARDO RIVAS"&amp;"""), ""Infraestructura"", """")}))"),"")</f>
        <v/>
      </c>
      <c r="G74" s="7"/>
      <c r="H74" s="7" t="str">
        <f t="shared" si="4"/>
        <v>En Proceso</v>
      </c>
      <c r="I74" s="12"/>
      <c r="J74" s="14"/>
      <c r="K74" s="12"/>
      <c r="L74" s="10"/>
      <c r="M74" s="10"/>
    </row>
    <row r="75" ht="22.5" customHeight="1">
      <c r="A75" s="3" t="str">
        <f t="shared" si="1"/>
        <v/>
      </c>
      <c r="B75" s="4" t="b">
        <v>0</v>
      </c>
      <c r="D75" s="7"/>
      <c r="E75" s="7"/>
      <c r="F75" s="7" t="str">
        <f>IFERROR(__xludf.DUMMYFUNCTION("TEXTJOIN("", "", TRUE, UNIQUE({IF(REGEXMATCH(E75, ""(?i)REYSON FARFAN|HERNAN CALLE""), ""Desarrollo"", """"); IF(REGEXMATCH(E75, ""(?i)GABRIEL ESCARATE|FATIMA VILLAJULCA|WILLIAM FLORES""), ""Automatización"", """"); IF(REGEXMATCH(E75, ""(?i)LEONARDO RIVAS"&amp;"""), ""Infraestructura"", """")}))"),"")</f>
        <v/>
      </c>
      <c r="G75" s="7"/>
      <c r="H75" s="7" t="str">
        <f t="shared" si="4"/>
        <v>En Proceso</v>
      </c>
      <c r="I75" s="12"/>
      <c r="J75" s="14"/>
      <c r="K75" s="12"/>
      <c r="L75" s="10"/>
      <c r="M75" s="10"/>
    </row>
    <row r="76" ht="22.5" customHeight="1">
      <c r="A76" s="3" t="str">
        <f t="shared" si="1"/>
        <v/>
      </c>
      <c r="B76" s="4" t="b">
        <v>0</v>
      </c>
      <c r="D76" s="7"/>
      <c r="E76" s="7"/>
      <c r="F76" s="7" t="str">
        <f>IFERROR(__xludf.DUMMYFUNCTION("TEXTJOIN("", "", TRUE, UNIQUE({IF(REGEXMATCH(E76, ""(?i)REYSON FARFAN|HERNAN CALLE""), ""Desarrollo"", """"); IF(REGEXMATCH(E76, ""(?i)GABRIEL ESCARATE|FATIMA VILLAJULCA|WILLIAM FLORES""), ""Automatización"", """"); IF(REGEXMATCH(E76, ""(?i)LEONARDO RIVAS"&amp;"""), ""Infraestructura"", """")}))"),"")</f>
        <v/>
      </c>
      <c r="G76" s="7"/>
      <c r="H76" s="7" t="str">
        <f t="shared" si="4"/>
        <v>En Proceso</v>
      </c>
      <c r="I76" s="12"/>
      <c r="J76" s="14"/>
      <c r="K76" s="12"/>
      <c r="L76" s="10"/>
      <c r="M76" s="10"/>
    </row>
    <row r="77" ht="22.5" customHeight="1">
      <c r="A77" s="3" t="str">
        <f t="shared" si="1"/>
        <v/>
      </c>
      <c r="B77" s="4" t="b">
        <v>0</v>
      </c>
      <c r="D77" s="7"/>
      <c r="E77" s="7"/>
      <c r="F77" s="7" t="str">
        <f>IFERROR(__xludf.DUMMYFUNCTION("TEXTJOIN("", "", TRUE, UNIQUE({IF(REGEXMATCH(E77, ""(?i)REYSON FARFAN|HERNAN CALLE""), ""Desarrollo"", """"); IF(REGEXMATCH(E77, ""(?i)GABRIEL ESCARATE|FATIMA VILLAJULCA|WILLIAM FLORES""), ""Automatización"", """"); IF(REGEXMATCH(E77, ""(?i)LEONARDO RIVAS"&amp;"""), ""Infraestructura"", """")}))"),"")</f>
        <v/>
      </c>
      <c r="G77" s="7"/>
      <c r="H77" s="7" t="str">
        <f t="shared" si="4"/>
        <v>En Proceso</v>
      </c>
      <c r="I77" s="12"/>
      <c r="J77" s="14"/>
      <c r="K77" s="12"/>
      <c r="L77" s="10"/>
      <c r="M77" s="10"/>
    </row>
    <row r="78" ht="22.5" customHeight="1">
      <c r="A78" s="3" t="str">
        <f t="shared" si="1"/>
        <v/>
      </c>
      <c r="B78" s="4" t="b">
        <v>0</v>
      </c>
      <c r="D78" s="7"/>
      <c r="E78" s="7"/>
      <c r="F78" s="7" t="str">
        <f>IFERROR(__xludf.DUMMYFUNCTION("TEXTJOIN("", "", TRUE, UNIQUE({IF(REGEXMATCH(E78, ""(?i)REYSON FARFAN|HERNAN CALLE""), ""Desarrollo"", """"); IF(REGEXMATCH(E78, ""(?i)GABRIEL ESCARATE|FATIMA VILLAJULCA|WILLIAM FLORES""), ""Automatización"", """"); IF(REGEXMATCH(E78, ""(?i)LEONARDO RIVAS"&amp;"""), ""Infraestructura"", """")}))"),"")</f>
        <v/>
      </c>
      <c r="G78" s="7"/>
      <c r="H78" s="7" t="str">
        <f t="shared" si="4"/>
        <v>En Proceso</v>
      </c>
      <c r="I78" s="12"/>
      <c r="J78" s="14"/>
      <c r="K78" s="12"/>
      <c r="L78" s="10"/>
      <c r="M78" s="10"/>
    </row>
    <row r="79" ht="22.5" customHeight="1">
      <c r="A79" s="3" t="str">
        <f t="shared" si="1"/>
        <v/>
      </c>
      <c r="B79" s="4" t="b">
        <v>0</v>
      </c>
      <c r="D79" s="7"/>
      <c r="E79" s="7"/>
      <c r="F79" s="7" t="str">
        <f>IFERROR(__xludf.DUMMYFUNCTION("TEXTJOIN("", "", TRUE, UNIQUE({IF(REGEXMATCH(E79, ""(?i)REYSON FARFAN|HERNAN CALLE""), ""Desarrollo"", """"); IF(REGEXMATCH(E79, ""(?i)GABRIEL ESCARATE|FATIMA VILLAJULCA|WILLIAM FLORES""), ""Automatización"", """"); IF(REGEXMATCH(E79, ""(?i)LEONARDO RIVAS"&amp;"""), ""Infraestructura"", """")}))"),"")</f>
        <v/>
      </c>
      <c r="G79" s="7"/>
      <c r="H79" s="7" t="str">
        <f t="shared" si="4"/>
        <v>En Proceso</v>
      </c>
      <c r="I79" s="12"/>
      <c r="J79" s="14"/>
      <c r="K79" s="12"/>
      <c r="L79" s="10"/>
      <c r="M79" s="10"/>
    </row>
    <row r="80" ht="22.5" customHeight="1">
      <c r="A80" s="3" t="str">
        <f t="shared" si="1"/>
        <v/>
      </c>
      <c r="B80" s="4" t="b">
        <v>0</v>
      </c>
      <c r="D80" s="7"/>
      <c r="E80" s="7"/>
      <c r="F80" s="7" t="str">
        <f>IFERROR(__xludf.DUMMYFUNCTION("TEXTJOIN("", "", TRUE, UNIQUE({IF(REGEXMATCH(E80, ""(?i)REYSON FARFAN|HERNAN CALLE""), ""Desarrollo"", """"); IF(REGEXMATCH(E80, ""(?i)GABRIEL ESCARATE|FATIMA VILLAJULCA|WILLIAM FLORES""), ""Automatización"", """"); IF(REGEXMATCH(E80, ""(?i)LEONARDO RIVAS"&amp;"""), ""Infraestructura"", """")}))"),"")</f>
        <v/>
      </c>
      <c r="G80" s="7"/>
      <c r="H80" s="7" t="str">
        <f t="shared" si="4"/>
        <v>En Proceso</v>
      </c>
      <c r="I80" s="12"/>
      <c r="J80" s="14"/>
      <c r="K80" s="12"/>
      <c r="L80" s="10"/>
      <c r="M80" s="10"/>
    </row>
    <row r="81" ht="22.5" customHeight="1">
      <c r="A81" s="3" t="str">
        <f t="shared" si="1"/>
        <v/>
      </c>
      <c r="B81" s="4" t="b">
        <v>0</v>
      </c>
      <c r="D81" s="7"/>
      <c r="E81" s="7"/>
      <c r="F81" s="7" t="str">
        <f>IFERROR(__xludf.DUMMYFUNCTION("TEXTJOIN("", "", TRUE, UNIQUE({IF(REGEXMATCH(E81, ""(?i)REYSON FARFAN|HERNAN CALLE""), ""Desarrollo"", """"); IF(REGEXMATCH(E81, ""(?i)GABRIEL ESCARATE|FATIMA VILLAJULCA|WILLIAM FLORES""), ""Automatización"", """"); IF(REGEXMATCH(E81, ""(?i)LEONARDO RIVAS"&amp;"""), ""Infraestructura"", """")}))"),"")</f>
        <v/>
      </c>
      <c r="G81" s="7"/>
      <c r="H81" s="7" t="str">
        <f t="shared" si="4"/>
        <v>En Proceso</v>
      </c>
      <c r="I81" s="12"/>
      <c r="J81" s="14"/>
      <c r="K81" s="12"/>
      <c r="L81" s="10"/>
      <c r="M81" s="10"/>
    </row>
    <row r="82" ht="22.5" customHeight="1">
      <c r="A82" s="3" t="str">
        <f t="shared" si="1"/>
        <v/>
      </c>
      <c r="B82" s="4" t="b">
        <v>0</v>
      </c>
      <c r="D82" s="7"/>
      <c r="E82" s="7"/>
      <c r="F82" s="7" t="str">
        <f>IFERROR(__xludf.DUMMYFUNCTION("TEXTJOIN("", "", TRUE, UNIQUE({IF(REGEXMATCH(E82, ""(?i)REYSON FARFAN|HERNAN CALLE""), ""Desarrollo"", """"); IF(REGEXMATCH(E82, ""(?i)GABRIEL ESCARATE|FATIMA VILLAJULCA|WILLIAM FLORES""), ""Automatización"", """"); IF(REGEXMATCH(E82, ""(?i)LEONARDO RIVAS"&amp;"""), ""Infraestructura"", """")}))"),"")</f>
        <v/>
      </c>
      <c r="G82" s="7"/>
      <c r="H82" s="7" t="str">
        <f t="shared" si="4"/>
        <v>En Proceso</v>
      </c>
      <c r="I82" s="12"/>
      <c r="J82" s="14"/>
      <c r="K82" s="12"/>
      <c r="L82" s="10"/>
      <c r="M82" s="10"/>
    </row>
    <row r="83" ht="22.5" customHeight="1">
      <c r="A83" s="3" t="str">
        <f t="shared" si="1"/>
        <v/>
      </c>
      <c r="B83" s="4" t="b">
        <v>0</v>
      </c>
      <c r="D83" s="7"/>
      <c r="E83" s="7"/>
      <c r="F83" s="7" t="str">
        <f>IFERROR(__xludf.DUMMYFUNCTION("TEXTJOIN("", "", TRUE, UNIQUE({IF(REGEXMATCH(E83, ""(?i)REYSON FARFAN|HERNAN CALLE""), ""Desarrollo"", """"); IF(REGEXMATCH(E83, ""(?i)GABRIEL ESCARATE|FATIMA VILLAJULCA|WILLIAM FLORES""), ""Automatización"", """"); IF(REGEXMATCH(E83, ""(?i)LEONARDO RIVAS"&amp;"""), ""Infraestructura"", """")}))"),"")</f>
        <v/>
      </c>
      <c r="G83" s="7"/>
      <c r="H83" s="7" t="str">
        <f t="shared" si="4"/>
        <v>En Proceso</v>
      </c>
      <c r="I83" s="12"/>
      <c r="J83" s="14"/>
      <c r="K83" s="12"/>
      <c r="L83" s="10"/>
      <c r="M83" s="10"/>
    </row>
    <row r="84" ht="22.5" customHeight="1">
      <c r="A84" s="3" t="str">
        <f t="shared" si="1"/>
        <v/>
      </c>
      <c r="B84" s="4" t="b">
        <v>0</v>
      </c>
      <c r="D84" s="7"/>
      <c r="E84" s="7"/>
      <c r="F84" s="7" t="str">
        <f>IFERROR(__xludf.DUMMYFUNCTION("TEXTJOIN("", "", TRUE, UNIQUE({IF(REGEXMATCH(E84, ""(?i)REYSON FARFAN|HERNAN CALLE""), ""Desarrollo"", """"); IF(REGEXMATCH(E84, ""(?i)GABRIEL ESCARATE|FATIMA VILLAJULCA|WILLIAM FLORES""), ""Automatización"", """"); IF(REGEXMATCH(E84, ""(?i)LEONARDO RIVAS"&amp;"""), ""Infraestructura"", """")}))"),"")</f>
        <v/>
      </c>
      <c r="G84" s="7"/>
      <c r="H84" s="7" t="str">
        <f t="shared" si="4"/>
        <v>En Proceso</v>
      </c>
      <c r="I84" s="12"/>
      <c r="J84" s="14"/>
      <c r="K84" s="12"/>
      <c r="L84" s="10"/>
      <c r="M84" s="10"/>
    </row>
    <row r="85" ht="22.5" customHeight="1">
      <c r="A85" s="3" t="str">
        <f t="shared" si="1"/>
        <v/>
      </c>
      <c r="B85" s="4" t="b">
        <v>0</v>
      </c>
      <c r="D85" s="7"/>
      <c r="E85" s="7"/>
      <c r="F85" s="7" t="str">
        <f>IFERROR(__xludf.DUMMYFUNCTION("TEXTJOIN("", "", TRUE, UNIQUE({IF(REGEXMATCH(E85, ""(?i)REYSON FARFAN|HERNAN CALLE""), ""Desarrollo"", """"); IF(REGEXMATCH(E85, ""(?i)GABRIEL ESCARATE|FATIMA VILLAJULCA|WILLIAM FLORES""), ""Automatización"", """"); IF(REGEXMATCH(E85, ""(?i)LEONARDO RIVAS"&amp;"""), ""Infraestructura"", """")}))"),"")</f>
        <v/>
      </c>
      <c r="G85" s="7"/>
      <c r="H85" s="7" t="str">
        <f t="shared" si="4"/>
        <v>En Proceso</v>
      </c>
      <c r="I85" s="12"/>
      <c r="J85" s="14"/>
      <c r="K85" s="12"/>
      <c r="L85" s="10"/>
      <c r="M85" s="10"/>
    </row>
    <row r="86" ht="22.5" customHeight="1">
      <c r="A86" s="3" t="str">
        <f t="shared" si="1"/>
        <v/>
      </c>
      <c r="B86" s="4" t="b">
        <v>0</v>
      </c>
      <c r="D86" s="7"/>
      <c r="E86" s="7"/>
      <c r="F86" s="7" t="str">
        <f>IFERROR(__xludf.DUMMYFUNCTION("TEXTJOIN("", "", TRUE, UNIQUE({IF(REGEXMATCH(E86, ""(?i)REYSON FARFAN|HERNAN CALLE""), ""Desarrollo"", """"); IF(REGEXMATCH(E86, ""(?i)GABRIEL ESCARATE|FATIMA VILLAJULCA|WILLIAM FLORES""), ""Automatización"", """"); IF(REGEXMATCH(E86, ""(?i)LEONARDO RIVAS"&amp;"""), ""Infraestructura"", """")}))"),"")</f>
        <v/>
      </c>
      <c r="G86" s="7"/>
      <c r="H86" s="7" t="str">
        <f t="shared" si="4"/>
        <v>En Proceso</v>
      </c>
      <c r="I86" s="12"/>
      <c r="J86" s="14"/>
      <c r="K86" s="12"/>
      <c r="L86" s="10"/>
      <c r="M86" s="10"/>
    </row>
    <row r="87" ht="22.5" customHeight="1">
      <c r="A87" s="3" t="str">
        <f t="shared" si="1"/>
        <v/>
      </c>
      <c r="B87" s="4" t="b">
        <v>0</v>
      </c>
      <c r="D87" s="7"/>
      <c r="E87" s="7"/>
      <c r="F87" s="7" t="str">
        <f>IFERROR(__xludf.DUMMYFUNCTION("TEXTJOIN("", "", TRUE, UNIQUE({IF(REGEXMATCH(E87, ""(?i)REYSON FARFAN|HERNAN CALLE""), ""Desarrollo"", """"); IF(REGEXMATCH(E87, ""(?i)GABRIEL ESCARATE|FATIMA VILLAJULCA|WILLIAM FLORES""), ""Automatización"", """"); IF(REGEXMATCH(E87, ""(?i)LEONARDO RIVAS"&amp;"""), ""Infraestructura"", """")}))"),"")</f>
        <v/>
      </c>
      <c r="G87" s="7"/>
      <c r="H87" s="7" t="str">
        <f t="shared" si="4"/>
        <v>En Proceso</v>
      </c>
      <c r="I87" s="12"/>
      <c r="J87" s="14"/>
      <c r="K87" s="12"/>
      <c r="L87" s="10"/>
      <c r="M87" s="10"/>
    </row>
    <row r="88" ht="22.5" customHeight="1">
      <c r="A88" s="3" t="str">
        <f t="shared" si="1"/>
        <v/>
      </c>
      <c r="B88" s="4" t="b">
        <v>0</v>
      </c>
      <c r="D88" s="7"/>
      <c r="E88" s="7"/>
      <c r="F88" s="7" t="str">
        <f>IFERROR(__xludf.DUMMYFUNCTION("TEXTJOIN("", "", TRUE, UNIQUE({IF(REGEXMATCH(E88, ""(?i)REYSON FARFAN|HERNAN CALLE""), ""Desarrollo"", """"); IF(REGEXMATCH(E88, ""(?i)GABRIEL ESCARATE|FATIMA VILLAJULCA|WILLIAM FLORES""), ""Automatización"", """"); IF(REGEXMATCH(E88, ""(?i)LEONARDO RIVAS"&amp;"""), ""Infraestructura"", """")}))"),"")</f>
        <v/>
      </c>
      <c r="G88" s="7"/>
      <c r="H88" s="7" t="str">
        <f t="shared" si="4"/>
        <v>En Proceso</v>
      </c>
      <c r="I88" s="12"/>
      <c r="J88" s="14"/>
      <c r="K88" s="12"/>
      <c r="L88" s="10"/>
      <c r="M88" s="10"/>
    </row>
    <row r="89" ht="22.5" customHeight="1">
      <c r="A89" s="3" t="str">
        <f t="shared" si="1"/>
        <v/>
      </c>
      <c r="B89" s="4" t="b">
        <v>0</v>
      </c>
      <c r="D89" s="7"/>
      <c r="E89" s="7"/>
      <c r="F89" s="7" t="str">
        <f>IFERROR(__xludf.DUMMYFUNCTION("TEXTJOIN("", "", TRUE, UNIQUE({IF(REGEXMATCH(E89, ""(?i)REYSON FARFAN|HERNAN CALLE""), ""Desarrollo"", """"); IF(REGEXMATCH(E89, ""(?i)GABRIEL ESCARATE|FATIMA VILLAJULCA|WILLIAM FLORES""), ""Automatización"", """"); IF(REGEXMATCH(E89, ""(?i)LEONARDO RIVAS"&amp;"""), ""Infraestructura"", """")}))"),"")</f>
        <v/>
      </c>
      <c r="G89" s="7"/>
      <c r="H89" s="7" t="str">
        <f t="shared" si="4"/>
        <v>En Proceso</v>
      </c>
      <c r="I89" s="12"/>
      <c r="J89" s="14"/>
      <c r="K89" s="12"/>
      <c r="L89" s="10"/>
      <c r="M89" s="10"/>
    </row>
    <row r="90" ht="22.5" customHeight="1">
      <c r="A90" s="3" t="str">
        <f t="shared" si="1"/>
        <v/>
      </c>
      <c r="B90" s="4" t="b">
        <v>0</v>
      </c>
      <c r="D90" s="7"/>
      <c r="E90" s="7"/>
      <c r="F90" s="7" t="str">
        <f>IFERROR(__xludf.DUMMYFUNCTION("TEXTJOIN("", "", TRUE, UNIQUE({IF(REGEXMATCH(E90, ""(?i)REYSON FARFAN|HERNAN CALLE""), ""Desarrollo"", """"); IF(REGEXMATCH(E90, ""(?i)GABRIEL ESCARATE|FATIMA VILLAJULCA|WILLIAM FLORES""), ""Automatización"", """"); IF(REGEXMATCH(E90, ""(?i)LEONARDO RIVAS"&amp;"""), ""Infraestructura"", """")}))"),"")</f>
        <v/>
      </c>
      <c r="G90" s="7"/>
      <c r="H90" s="7" t="str">
        <f t="shared" si="4"/>
        <v>En Proceso</v>
      </c>
      <c r="I90" s="12"/>
      <c r="J90" s="14"/>
      <c r="K90" s="12"/>
      <c r="L90" s="10"/>
      <c r="M90" s="10"/>
    </row>
    <row r="91" ht="22.5" customHeight="1">
      <c r="A91" s="3" t="str">
        <f t="shared" si="1"/>
        <v/>
      </c>
      <c r="B91" s="4" t="b">
        <v>0</v>
      </c>
      <c r="D91" s="7"/>
      <c r="E91" s="7"/>
      <c r="F91" s="7" t="str">
        <f>IFERROR(__xludf.DUMMYFUNCTION("TEXTJOIN("", "", TRUE, UNIQUE({IF(REGEXMATCH(E91, ""(?i)REYSON FARFAN|HERNAN CALLE""), ""Desarrollo"", """"); IF(REGEXMATCH(E91, ""(?i)GABRIEL ESCARATE|FATIMA VILLAJULCA|WILLIAM FLORES""), ""Automatización"", """"); IF(REGEXMATCH(E91, ""(?i)LEONARDO RIVAS"&amp;"""), ""Infraestructura"", """")}))"),"")</f>
        <v/>
      </c>
      <c r="G91" s="7"/>
      <c r="H91" s="7" t="str">
        <f t="shared" si="4"/>
        <v>En Proceso</v>
      </c>
      <c r="I91" s="12"/>
      <c r="J91" s="14"/>
      <c r="K91" s="12"/>
      <c r="L91" s="10"/>
      <c r="M91" s="10"/>
    </row>
    <row r="92" ht="22.5" customHeight="1">
      <c r="A92" s="3" t="str">
        <f t="shared" si="1"/>
        <v/>
      </c>
      <c r="B92" s="4" t="b">
        <v>0</v>
      </c>
      <c r="D92" s="7"/>
      <c r="E92" s="7"/>
      <c r="F92" s="7" t="str">
        <f>IFERROR(__xludf.DUMMYFUNCTION("TEXTJOIN("", "", TRUE, UNIQUE({IF(REGEXMATCH(E92, ""(?i)REYSON FARFAN|HERNAN CALLE""), ""Desarrollo"", """"); IF(REGEXMATCH(E92, ""(?i)GABRIEL ESCARATE|FATIMA VILLAJULCA|WILLIAM FLORES""), ""Automatización"", """"); IF(REGEXMATCH(E92, ""(?i)LEONARDO RIVAS"&amp;"""), ""Infraestructura"", """")}))"),"")</f>
        <v/>
      </c>
      <c r="G92" s="7"/>
      <c r="H92" s="7" t="str">
        <f t="shared" si="4"/>
        <v>En Proceso</v>
      </c>
      <c r="I92" s="12"/>
      <c r="J92" s="14"/>
      <c r="K92" s="12"/>
      <c r="L92" s="10"/>
      <c r="M92" s="10"/>
    </row>
    <row r="93" ht="22.5" customHeight="1">
      <c r="A93" s="3" t="str">
        <f t="shared" si="1"/>
        <v/>
      </c>
      <c r="B93" s="4" t="b">
        <v>0</v>
      </c>
      <c r="D93" s="7"/>
      <c r="E93" s="7"/>
      <c r="F93" s="7" t="str">
        <f>IFERROR(__xludf.DUMMYFUNCTION("TEXTJOIN("", "", TRUE, UNIQUE({IF(REGEXMATCH(E93, ""(?i)REYSON FARFAN|HERNAN CALLE""), ""Desarrollo"", """"); IF(REGEXMATCH(E93, ""(?i)GABRIEL ESCARATE|FATIMA VILLAJULCA|WILLIAM FLORES""), ""Automatización"", """"); IF(REGEXMATCH(E93, ""(?i)LEONARDO RIVAS"&amp;"""), ""Infraestructura"", """")}))"),"")</f>
        <v/>
      </c>
      <c r="G93" s="7"/>
      <c r="H93" s="7" t="str">
        <f t="shared" si="4"/>
        <v>En Proceso</v>
      </c>
      <c r="I93" s="12"/>
      <c r="J93" s="14"/>
      <c r="K93" s="12"/>
      <c r="L93" s="10"/>
      <c r="M93" s="10"/>
    </row>
    <row r="94" ht="22.5" customHeight="1">
      <c r="A94" s="3" t="str">
        <f t="shared" si="1"/>
        <v/>
      </c>
      <c r="B94" s="4" t="b">
        <v>0</v>
      </c>
      <c r="D94" s="7"/>
      <c r="E94" s="7"/>
      <c r="F94" s="7" t="str">
        <f>IFERROR(__xludf.DUMMYFUNCTION("TEXTJOIN("", "", TRUE, UNIQUE({IF(REGEXMATCH(E94, ""(?i)REYSON FARFAN|HERNAN CALLE""), ""Desarrollo"", """"); IF(REGEXMATCH(E94, ""(?i)GABRIEL ESCARATE|FATIMA VILLAJULCA|WILLIAM FLORES""), ""Automatización"", """"); IF(REGEXMATCH(E94, ""(?i)LEONARDO RIVAS"&amp;"""), ""Infraestructura"", """")}))"),"")</f>
        <v/>
      </c>
      <c r="G94" s="7"/>
      <c r="H94" s="7" t="str">
        <f t="shared" si="4"/>
        <v>En Proceso</v>
      </c>
      <c r="I94" s="12"/>
      <c r="J94" s="14"/>
      <c r="K94" s="12"/>
      <c r="L94" s="10"/>
      <c r="M94" s="10"/>
    </row>
    <row r="95" ht="22.5" customHeight="1">
      <c r="A95" s="3" t="str">
        <f t="shared" si="1"/>
        <v/>
      </c>
      <c r="B95" s="4" t="b">
        <v>0</v>
      </c>
      <c r="D95" s="7"/>
      <c r="E95" s="7"/>
      <c r="F95" s="7" t="str">
        <f>IFERROR(__xludf.DUMMYFUNCTION("TEXTJOIN("", "", TRUE, UNIQUE({IF(REGEXMATCH(E95, ""(?i)REYSON FARFAN|HERNAN CALLE""), ""Desarrollo"", """"); IF(REGEXMATCH(E95, ""(?i)GABRIEL ESCARATE|FATIMA VILLAJULCA|WILLIAM FLORES""), ""Automatización"", """"); IF(REGEXMATCH(E95, ""(?i)LEONARDO RIVAS"&amp;"""), ""Infraestructura"", """")}))"),"")</f>
        <v/>
      </c>
      <c r="G95" s="7"/>
      <c r="H95" s="7" t="str">
        <f t="shared" si="4"/>
        <v>En Proceso</v>
      </c>
      <c r="I95" s="12"/>
      <c r="J95" s="14"/>
      <c r="K95" s="12"/>
      <c r="L95" s="10"/>
      <c r="M95" s="10"/>
    </row>
    <row r="96" ht="22.5" customHeight="1">
      <c r="A96" s="3" t="str">
        <f t="shared" si="1"/>
        <v/>
      </c>
      <c r="B96" s="4" t="b">
        <v>0</v>
      </c>
      <c r="D96" s="7"/>
      <c r="E96" s="7"/>
      <c r="F96" s="7" t="str">
        <f>IFERROR(__xludf.DUMMYFUNCTION("TEXTJOIN("", "", TRUE, UNIQUE({IF(REGEXMATCH(E96, ""(?i)REYSON FARFAN|HERNAN CALLE""), ""Desarrollo"", """"); IF(REGEXMATCH(E96, ""(?i)GABRIEL ESCARATE|FATIMA VILLAJULCA|WILLIAM FLORES""), ""Automatización"", """"); IF(REGEXMATCH(E96, ""(?i)LEONARDO RIVAS"&amp;"""), ""Infraestructura"", """")}))"),"")</f>
        <v/>
      </c>
      <c r="G96" s="7"/>
      <c r="H96" s="7" t="str">
        <f t="shared" si="4"/>
        <v>En Proceso</v>
      </c>
      <c r="I96" s="12"/>
      <c r="J96" s="14"/>
      <c r="K96" s="12"/>
      <c r="L96" s="10"/>
      <c r="M96" s="10"/>
    </row>
    <row r="97" ht="22.5" customHeight="1">
      <c r="A97" s="3" t="str">
        <f t="shared" si="1"/>
        <v/>
      </c>
      <c r="B97" s="4" t="b">
        <v>0</v>
      </c>
      <c r="D97" s="7"/>
      <c r="E97" s="7"/>
      <c r="F97" s="7" t="str">
        <f>IFERROR(__xludf.DUMMYFUNCTION("TEXTJOIN("", "", TRUE, UNIQUE({IF(REGEXMATCH(E97, ""(?i)REYSON FARFAN|HERNAN CALLE""), ""Desarrollo"", """"); IF(REGEXMATCH(E97, ""(?i)GABRIEL ESCARATE|FATIMA VILLAJULCA|WILLIAM FLORES""), ""Automatización"", """"); IF(REGEXMATCH(E97, ""(?i)LEONARDO RIVAS"&amp;"""), ""Infraestructura"", """")}))"),"")</f>
        <v/>
      </c>
      <c r="G97" s="7"/>
      <c r="H97" s="7" t="str">
        <f t="shared" si="4"/>
        <v>En Proceso</v>
      </c>
      <c r="I97" s="12"/>
      <c r="J97" s="14"/>
      <c r="K97" s="12"/>
      <c r="L97" s="10"/>
      <c r="M97" s="10"/>
    </row>
    <row r="98" ht="22.5" customHeight="1">
      <c r="A98" s="3" t="str">
        <f t="shared" si="1"/>
        <v/>
      </c>
      <c r="B98" s="4" t="b">
        <v>0</v>
      </c>
      <c r="D98" s="7"/>
      <c r="E98" s="7"/>
      <c r="F98" s="7" t="str">
        <f>IFERROR(__xludf.DUMMYFUNCTION("TEXTJOIN("", "", TRUE, UNIQUE({IF(REGEXMATCH(E98, ""(?i)REYSON FARFAN|HERNAN CALLE""), ""Desarrollo"", """"); IF(REGEXMATCH(E98, ""(?i)GABRIEL ESCARATE|FATIMA VILLAJULCA|WILLIAM FLORES""), ""Automatización"", """"); IF(REGEXMATCH(E98, ""(?i)LEONARDO RIVAS"&amp;"""), ""Infraestructura"", """")}))"),"")</f>
        <v/>
      </c>
      <c r="G98" s="7"/>
      <c r="H98" s="7" t="str">
        <f t="shared" si="4"/>
        <v>En Proceso</v>
      </c>
      <c r="I98" s="12"/>
      <c r="J98" s="14"/>
      <c r="K98" s="12"/>
      <c r="L98" s="10"/>
      <c r="M98" s="10"/>
    </row>
  </sheetData>
  <conditionalFormatting sqref="H2:H98">
    <cfRule type="cellIs" dxfId="5" priority="1" stopIfTrue="1" operator="equal">
      <formula>"Demorado"</formula>
    </cfRule>
  </conditionalFormatting>
  <conditionalFormatting sqref="H2:H98">
    <cfRule type="cellIs" dxfId="6" priority="2" stopIfTrue="1" operator="equal">
      <formula>"En Proceso"</formula>
    </cfRule>
  </conditionalFormatting>
  <conditionalFormatting sqref="H2:H98">
    <cfRule type="cellIs" dxfId="7" priority="3" stopIfTrue="1" operator="equal">
      <formula>"Completado"</formula>
    </cfRule>
  </conditionalFormatting>
  <conditionalFormatting sqref="H2:H98">
    <cfRule type="cellIs" dxfId="7" priority="4" stopIfTrue="1" operator="equal">
      <formula>"Completado"</formula>
    </cfRule>
  </conditionalFormatting>
  <conditionalFormatting sqref="H2:H98">
    <cfRule type="cellIs" dxfId="6" priority="5" stopIfTrue="1" operator="equal">
      <formula>"En Proceso"</formula>
    </cfRule>
  </conditionalFormatting>
  <conditionalFormatting sqref="H2:H98">
    <cfRule type="cellIs" dxfId="8" priority="6" stopIfTrue="1" operator="equal">
      <formula>"Demorado"</formula>
    </cfRule>
  </conditionalFormatting>
  <conditionalFormatting sqref="H2:H98">
    <cfRule type="cellIs" dxfId="7" priority="7" stopIfTrue="1" operator="equal">
      <formula>"Completado"</formula>
    </cfRule>
  </conditionalFormatting>
  <conditionalFormatting sqref="H2:H98">
    <cfRule type="cellIs" dxfId="5" priority="8" stopIfTrue="1" operator="equal">
      <formula>"Demorado"</formula>
    </cfRule>
  </conditionalFormatting>
  <conditionalFormatting sqref="H2:H98">
    <cfRule type="cellIs" dxfId="6" priority="9" stopIfTrue="1" operator="equal">
      <formula>"En Proceso"</formula>
    </cfRule>
  </conditionalFormatting>
  <conditionalFormatting sqref="H2:H98">
    <cfRule type="cellIs" dxfId="7" priority="10" stopIfTrue="1" operator="equal">
      <formula>"Completado"</formula>
    </cfRule>
  </conditionalFormatting>
  <conditionalFormatting sqref="H2:H98">
    <cfRule type="cellIs" dxfId="6" priority="11" stopIfTrue="1" operator="equal">
      <formula>"En Proceso"</formula>
    </cfRule>
  </conditionalFormatting>
  <conditionalFormatting sqref="H2:H98">
    <cfRule type="cellIs" dxfId="5" priority="12" stopIfTrue="1" operator="equal">
      <formula>"Demorado"</formula>
    </cfRule>
  </conditionalFormatting>
  <dataValidations>
    <dataValidation type="list" allowBlank="1" showErrorMessage="1" sqref="E2:E98">
      <formula1>"REYSON FARFAN,HERNAN CALLE,GABRIEL ESCARATE,FATIMA VILLAJULCA,WILLIAM FLORES,LEONARDO RIVAS"</formula1>
    </dataValidation>
    <dataValidation type="list" allowBlank="1" showErrorMessage="1" sqref="F2:F98">
      <formula1>"Desarrollo,Automatización"</formula1>
    </dataValidation>
    <dataValidation type="custom" allowBlank="1" showDropDown="1" sqref="I2:K98">
      <formula1>OR(NOT(ISERROR(DATEVALUE(I2))), AND(ISNUMBER(I2), LEFT(CELL("format", I2))="D"))</formula1>
    </dataValidation>
    <dataValidation type="list" allowBlank="1" showErrorMessage="1" sqref="H2:H98">
      <formula1>"Pendiente,En proceso,Completado,Cancelado"</formula1>
    </dataValidation>
    <dataValidation type="custom" allowBlank="1" showDropDown="1" sqref="L2:L98">
      <formula1>AND(ISNUMBER(L2),(NOT(OR(NOT(ISERROR(DATEVALUE(L2))), AND(ISNUMBER(L2), LEFT(CELL("format", L2))="D")))))</formula1>
    </dataValidation>
    <dataValidation type="list" allowBlank="1" showErrorMessage="1" sqref="G2:G98">
      <formula1>"Alta,Media,Baja"</formula1>
    </dataValidation>
    <dataValidation type="list" allowBlank="1" sqref="D2:D98">
      <formula1>"Finanzas,Recursos Humanos,Operaciones,documentacion,matricez,Liquidacion post,liquidacion pre,importacion,contabilidad,SMARTBOTS,PI-EM,SIG,SISTEMAS,CLIENTES"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15" t="s">
        <v>80</v>
      </c>
      <c r="B1" s="15" t="s">
        <v>81</v>
      </c>
    </row>
    <row r="2">
      <c r="A2" s="16" t="s">
        <v>82</v>
      </c>
      <c r="B2" s="16" t="s">
        <v>83</v>
      </c>
    </row>
    <row r="3">
      <c r="A3" s="16" t="s">
        <v>84</v>
      </c>
      <c r="B3" s="16" t="s">
        <v>83</v>
      </c>
    </row>
    <row r="4">
      <c r="A4" s="16" t="s">
        <v>85</v>
      </c>
      <c r="B4" s="16" t="s">
        <v>83</v>
      </c>
    </row>
    <row r="5">
      <c r="A5" s="16" t="s">
        <v>86</v>
      </c>
      <c r="B5" s="16" t="s">
        <v>87</v>
      </c>
    </row>
  </sheetData>
  <drawing r:id="rId1"/>
</worksheet>
</file>